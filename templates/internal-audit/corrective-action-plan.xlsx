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16A7389E-62EC-FE45-AB43-917B0E76732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rrective Action Plan" sheetId="1" r:id="rId1"/>
    <sheet name="Dashboard" sheetId="2" r:id="rId2"/>
    <sheet name="Reference Data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D7" i="2"/>
  <c r="D8" i="2"/>
  <c r="D9" i="2"/>
  <c r="D10" i="2"/>
  <c r="D11" i="2"/>
</calcChain>
</file>

<file path=xl/sharedStrings.xml><?xml version="1.0" encoding="utf-8"?>
<sst xmlns="http://schemas.openxmlformats.org/spreadsheetml/2006/main" count="162" uniqueCount="104">
  <si>
    <t>CORRECTIVE ACTION PLAN (CAP) &amp; ISSUE TRACKING</t>
  </si>
  <si>
    <t>Comprehensive remediation tracker for audit findings, corrective actions, priorities, retest schedules, and closure status.</t>
  </si>
  <si>
    <t>Finding ID</t>
  </si>
  <si>
    <t>Corrective Action</t>
  </si>
  <si>
    <t>Owner</t>
  </si>
  <si>
    <t>Priority</t>
  </si>
  <si>
    <t>Target Date</t>
  </si>
  <si>
    <t>Status</t>
  </si>
  <si>
    <t>Evidence Required</t>
  </si>
  <si>
    <t>Retest Date</t>
  </si>
  <si>
    <t>Retest Result</t>
  </si>
  <si>
    <t>Closure</t>
  </si>
  <si>
    <t>FND-001</t>
  </si>
  <si>
    <t>Revoke inactive vendor accounts and enforce automated 90-day deactivation policy in Active Directory</t>
  </si>
  <si>
    <t>J. Smith</t>
  </si>
  <si>
    <t>High</t>
  </si>
  <si>
    <t>2026-03-31</t>
  </si>
  <si>
    <t>Closed</t>
  </si>
  <si>
    <t>AD account status export &amp; deactivation logs</t>
  </si>
  <si>
    <t>2026-04-05</t>
  </si>
  <si>
    <t>Pass</t>
  </si>
  <si>
    <t>Verified Closed</t>
  </si>
  <si>
    <t>FND-002</t>
  </si>
  <si>
    <t>Update change management policy to mandate peer review and QA sign-off prior to production deployment</t>
  </si>
  <si>
    <t>M. Davis</t>
  </si>
  <si>
    <t>2026-04-15</t>
  </si>
  <si>
    <t>Updated policy document &amp; Jira workflow configuration</t>
  </si>
  <si>
    <t>2026-04-20</t>
  </si>
  <si>
    <t>FND-003</t>
  </si>
  <si>
    <t>Implement automated daily encryption verification checks for all AWS S3 buckets containing sensitive data</t>
  </si>
  <si>
    <t>A. Johnson</t>
  </si>
  <si>
    <t>Medium</t>
  </si>
  <si>
    <t>2026-05-10</t>
  </si>
  <si>
    <t>In Progress</t>
  </si>
  <si>
    <t>AWS Config compliance dashboard screenshot</t>
  </si>
  <si>
    <t>2026-05-15</t>
  </si>
  <si>
    <t>Pending</t>
  </si>
  <si>
    <t>Open</t>
  </si>
  <si>
    <t>FND-004</t>
  </si>
  <si>
    <t>Conduct emergency patch deployment for identified high-severity vulnerabilities on legacy internal servers</t>
  </si>
  <si>
    <t>N. Vance</t>
  </si>
  <si>
    <t>Critical</t>
  </si>
  <si>
    <t>2026-04-30</t>
  </si>
  <si>
    <t>Tenable post-patch vulnerability scan report</t>
  </si>
  <si>
    <t>2026-05-02</t>
  </si>
  <si>
    <t>FND-005</t>
  </si>
  <si>
    <t>Perform comprehensive annual disaster recovery tabletop simulation with all executive department heads</t>
  </si>
  <si>
    <t>K. Patel</t>
  </si>
  <si>
    <t>2026-06-15</t>
  </si>
  <si>
    <t>DR exercise minutes, attendance sheet, and after-action report</t>
  </si>
  <si>
    <t>2026-06-20</t>
  </si>
  <si>
    <t>FND-006</t>
  </si>
  <si>
    <t>Obtain and archive missing SOC2 Type II compliance reports for 3 third-party SaaS vendors</t>
  </si>
  <si>
    <t>S. Lee</t>
  </si>
  <si>
    <t>2026-05-20</t>
  </si>
  <si>
    <t>Vendor compliance folder exports</t>
  </si>
  <si>
    <t>2026-05-22</t>
  </si>
  <si>
    <t>FND-007</t>
  </si>
  <si>
    <t>Revise privacy policy and establish documented data subject access request (DSR) response workflow</t>
  </si>
  <si>
    <t>2026-05-30</t>
  </si>
  <si>
    <t>Published privacy policy update and ticketing workflow template</t>
  </si>
  <si>
    <t>2026-06-05</t>
  </si>
  <si>
    <t>FND-008</t>
  </si>
  <si>
    <t>Enforce mandatory multi-factor authentication (MFA) across all administrative and service accounts</t>
  </si>
  <si>
    <t>2026-04-01</t>
  </si>
  <si>
    <t>IdP security settings configuration export</t>
  </si>
  <si>
    <t>2026-04-03</t>
  </si>
  <si>
    <t>FND-009</t>
  </si>
  <si>
    <t>Update physical visitor log standard operating procedures to include mandatory badge escorts</t>
  </si>
  <si>
    <t>P. Gomez</t>
  </si>
  <si>
    <t>Low</t>
  </si>
  <si>
    <t>2026-06-01</t>
  </si>
  <si>
    <t>Updated physical security SOP document &amp; security guard sign-off</t>
  </si>
  <si>
    <t>FND-010</t>
  </si>
  <si>
    <t>Complete quarterly user access re-certification for financial systems and review privilege exceptions</t>
  </si>
  <si>
    <t>2026-04-10</t>
  </si>
  <si>
    <t>Signed quarterly access review sign-off sheet</t>
  </si>
  <si>
    <t>2026-04-12</t>
  </si>
  <si>
    <t>FND-011</t>
  </si>
  <si>
    <t>Implement centralized log retention policy in SIEM ensuring minimum 365-day retention for audit trails</t>
  </si>
  <si>
    <t>R. Taylor</t>
  </si>
  <si>
    <t>2026-06-30</t>
  </si>
  <si>
    <t>Pending Verification</t>
  </si>
  <si>
    <t>SIEM storage policy configuration export</t>
  </si>
  <si>
    <t>2026-07-05</t>
  </si>
  <si>
    <t>Pending Sign-off</t>
  </si>
  <si>
    <t>FND-012</t>
  </si>
  <si>
    <t>Conduct mandatory security awareness refresher training for all personnel with overdue status</t>
  </si>
  <si>
    <t>H. Green</t>
  </si>
  <si>
    <t>LMS 100% completion tracking report</t>
  </si>
  <si>
    <t>2026-05-18</t>
  </si>
  <si>
    <t>CORRECTIVE ACTION PLAN DASHBOARD</t>
  </si>
  <si>
    <t>CAP Status Summary &amp; Metrics</t>
  </si>
  <si>
    <t>Action Status</t>
  </si>
  <si>
    <t>Count</t>
  </si>
  <si>
    <t>% of Total</t>
  </si>
  <si>
    <t>Total Corrective Actions</t>
  </si>
  <si>
    <t>Priority Options</t>
  </si>
  <si>
    <t>Status Options</t>
  </si>
  <si>
    <t>Retest Result Options</t>
  </si>
  <si>
    <t>Closure Options</t>
  </si>
  <si>
    <t>Fail</t>
  </si>
  <si>
    <t>N/A</t>
  </si>
  <si>
    <t>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</si>
</sst>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117A65"/>
      <name val="Calibri"/>
    </font>
    <font>
      <b/>
      <sz val="16"/>
      <color rgb="FF117A65"/>
      <name val="Calibri"/>
    </font>
    <font>
      <i/>
      <sz val="11"/>
      <color rgb="FF515A5A"/>
      <name val="Calibri"/>
    </font>
    <font>
      <b/>
      <sz val="11"/>
      <color rgb="FFFFFFFF"/>
      <name val="Calibri"/>
    </font>
    <font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rgb="FFFFFFFF"/>
        <bgColor rgb="FFFFFFFF"/>
      </patternFill>
    </fill>
    <fill>
      <patternFill patternType="solid">
        <fgColor rgb="FFF4F9F8"/>
        <bgColor rgb="FFF4F9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E625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0" borderId="0" xfId="0" applyFont="1"/>
    <xf numFmtId="0" fontId="2" fillId="0" borderId="0" xfId="0" applyFont="1"/>
    <xf numFmtId="0" fontId="0" fillId="0" borderId="0" xfId="0"/>
  </cellXfs>
  <cellStyles count="1">
    <cellStyle name="Normal" xfId="0" builtinId="0"/>
  </cellStyles>
  <dxfs count="7">
    <dxf>
      <font>
        <b/>
        <color rgb="FF78281F"/>
      </font>
      <fill>
        <patternFill patternType="solid">
          <fgColor rgb="FFFADBD8"/>
          <bgColor rgb="FFFADBD8"/>
        </patternFill>
      </fill>
    </dxf>
    <dxf>
      <font>
        <b/>
        <color rgb="FF7E5109"/>
      </font>
      <fill>
        <patternFill patternType="solid">
          <fgColor rgb="FFFDEBD0"/>
          <bgColor rgb="FFFDEBD0"/>
        </patternFill>
      </fill>
    </dxf>
    <dxf>
      <font>
        <b/>
        <color rgb="FF7D6608"/>
      </font>
      <fill>
        <patternFill patternType="solid">
          <fgColor rgb="FFFCF3CF"/>
          <bgColor rgb="FFFCF3CF"/>
        </patternFill>
      </fill>
    </dxf>
    <dxf>
      <font>
        <b/>
        <color rgb="FF145A32"/>
      </font>
      <fill>
        <patternFill patternType="solid">
          <fgColor rgb="FFD4EFDF"/>
          <bgColor rgb="FFD4EFDF"/>
        </patternFill>
      </fill>
    </dxf>
    <dxf>
      <font>
        <b/>
        <color rgb="FF7D6608"/>
      </font>
      <fill>
        <patternFill patternType="solid">
          <fgColor rgb="FFFCF3CF"/>
          <bgColor rgb="FFFCF3CF"/>
        </patternFill>
      </fill>
    </dxf>
    <dxf>
      <font>
        <b/>
        <color rgb="FF7E5109"/>
      </font>
      <fill>
        <patternFill patternType="solid">
          <fgColor rgb="FFFDEBD0"/>
          <bgColor rgb="FFFDEBD0"/>
        </patternFill>
      </fill>
    </dxf>
    <dxf>
      <font>
        <b/>
        <color rgb="FF78281F"/>
      </font>
      <fill>
        <patternFill patternType="solid">
          <fgColor rgb="FFFADBD8"/>
          <bgColor rgb="FFFADB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t>Remediation Status Breakdown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Dashboard!C6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Dashboard!$B$7:$B$10</c:f>
              <c:strCache>
                <c:ptCount val="4"/>
                <c:pt idx="0">
                  <c:v>Open</c:v>
                </c:pt>
                <c:pt idx="1">
                  <c:v>In Progress</c:v>
                </c:pt>
                <c:pt idx="2">
                  <c:v>Pending Verification</c:v>
                </c:pt>
                <c:pt idx="3">
                  <c:v>Closed</c:v>
                </c:pt>
              </c:strCache>
            </c:strRef>
          </c:cat>
          <c:val>
            <c:numRef>
              <c:f>Dashboard!$C$7:$C$10</c:f>
              <c:numCache>
                <c:formatCode>#,##0</c:formatCode>
                <c:ptCount val="4"/>
                <c:pt idx="0">
                  <c:v>0</c:v>
                </c:pt>
                <c:pt idx="1">
                  <c:v>3</c:v>
                </c:pt>
                <c:pt idx="2">
                  <c:v>1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7-A141-A70F-1B8D0E6E5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Count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50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8"/>
  <sheetViews>
    <sheetView tabSelected="1" topLeftCell="C1" workbookViewId="0"/>
  </sheetViews>
  <sheetFormatPr defaultRowHeight="15" x14ac:dyDescent="0.2"/>
  <cols>
    <col min="1" max="1" width="13.98828125" customWidth="1"/>
    <col min="2" max="2" width="50.04296875" customWidth="1"/>
    <col min="3" max="3" width="16.0078125" customWidth="1"/>
    <col min="4" max="4" width="13.98828125" customWidth="1"/>
    <col min="5" max="5" width="14.9296875" customWidth="1"/>
    <col min="6" max="6" width="22.05859375" customWidth="1"/>
    <col min="7" max="7" width="39.953125" customWidth="1"/>
    <col min="8" max="8" width="14.9296875" customWidth="1"/>
    <col min="9" max="9" width="16.0078125" customWidth="1"/>
    <col min="10" max="10" width="20.04296875" customWidth="1"/>
  </cols>
  <sheetData>
    <row r="2" spans="1:10" ht="21" x14ac:dyDescent="0.3">
      <c r="A2" s="14" t="s">
        <v>0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">
      <c r="A3" s="1" t="s">
        <v>1</v>
      </c>
    </row>
    <row r="6" spans="1:10" x14ac:dyDescent="0.2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</row>
    <row r="7" spans="1:10" ht="27.75" x14ac:dyDescent="0.2">
      <c r="A7" s="3" t="s">
        <v>12</v>
      </c>
      <c r="B7" s="4" t="s">
        <v>13</v>
      </c>
      <c r="C7" s="4" t="s">
        <v>14</v>
      </c>
      <c r="D7" s="3" t="s">
        <v>15</v>
      </c>
      <c r="E7" s="3" t="s">
        <v>16</v>
      </c>
      <c r="F7" s="3" t="s">
        <v>17</v>
      </c>
      <c r="G7" s="4" t="s">
        <v>18</v>
      </c>
      <c r="H7" s="3" t="s">
        <v>19</v>
      </c>
      <c r="I7" s="3" t="s">
        <v>20</v>
      </c>
      <c r="J7" s="3" t="s">
        <v>21</v>
      </c>
    </row>
    <row r="8" spans="1:10" ht="27.75" x14ac:dyDescent="0.2">
      <c r="A8" s="5" t="s">
        <v>22</v>
      </c>
      <c r="B8" s="6" t="s">
        <v>23</v>
      </c>
      <c r="C8" s="6" t="s">
        <v>24</v>
      </c>
      <c r="D8" s="5" t="s">
        <v>15</v>
      </c>
      <c r="E8" s="5" t="s">
        <v>25</v>
      </c>
      <c r="F8" s="5" t="s">
        <v>17</v>
      </c>
      <c r="G8" s="6" t="s">
        <v>26</v>
      </c>
      <c r="H8" s="5" t="s">
        <v>27</v>
      </c>
      <c r="I8" s="5" t="s">
        <v>20</v>
      </c>
      <c r="J8" s="5" t="s">
        <v>21</v>
      </c>
    </row>
    <row r="9" spans="1:10" ht="27.75" x14ac:dyDescent="0.2">
      <c r="A9" s="3" t="s">
        <v>28</v>
      </c>
      <c r="B9" s="4" t="s">
        <v>29</v>
      </c>
      <c r="C9" s="4" t="s">
        <v>30</v>
      </c>
      <c r="D9" s="3" t="s">
        <v>31</v>
      </c>
      <c r="E9" s="3" t="s">
        <v>32</v>
      </c>
      <c r="F9" s="3" t="s">
        <v>33</v>
      </c>
      <c r="G9" s="4" t="s">
        <v>34</v>
      </c>
      <c r="H9" s="3" t="s">
        <v>35</v>
      </c>
      <c r="I9" s="3" t="s">
        <v>36</v>
      </c>
      <c r="J9" s="3" t="s">
        <v>37</v>
      </c>
    </row>
    <row r="10" spans="1:10" ht="27.75" x14ac:dyDescent="0.2">
      <c r="A10" s="5" t="s">
        <v>38</v>
      </c>
      <c r="B10" s="6" t="s">
        <v>39</v>
      </c>
      <c r="C10" s="6" t="s">
        <v>40</v>
      </c>
      <c r="D10" s="5" t="s">
        <v>41</v>
      </c>
      <c r="E10" s="5" t="s">
        <v>42</v>
      </c>
      <c r="F10" s="5" t="s">
        <v>17</v>
      </c>
      <c r="G10" s="6" t="s">
        <v>43</v>
      </c>
      <c r="H10" s="5" t="s">
        <v>44</v>
      </c>
      <c r="I10" s="5" t="s">
        <v>20</v>
      </c>
      <c r="J10" s="5" t="s">
        <v>21</v>
      </c>
    </row>
    <row r="11" spans="1:10" ht="27.75" x14ac:dyDescent="0.2">
      <c r="A11" s="3" t="s">
        <v>45</v>
      </c>
      <c r="B11" s="4" t="s">
        <v>46</v>
      </c>
      <c r="C11" s="4" t="s">
        <v>47</v>
      </c>
      <c r="D11" s="3" t="s">
        <v>31</v>
      </c>
      <c r="E11" s="3" t="s">
        <v>48</v>
      </c>
      <c r="F11" s="3" t="s">
        <v>33</v>
      </c>
      <c r="G11" s="4" t="s">
        <v>49</v>
      </c>
      <c r="H11" s="3" t="s">
        <v>50</v>
      </c>
      <c r="I11" s="3" t="s">
        <v>36</v>
      </c>
      <c r="J11" s="3" t="s">
        <v>37</v>
      </c>
    </row>
    <row r="12" spans="1:10" ht="27.75" x14ac:dyDescent="0.2">
      <c r="A12" s="5" t="s">
        <v>51</v>
      </c>
      <c r="B12" s="6" t="s">
        <v>52</v>
      </c>
      <c r="C12" s="6" t="s">
        <v>53</v>
      </c>
      <c r="D12" s="5" t="s">
        <v>31</v>
      </c>
      <c r="E12" s="5" t="s">
        <v>54</v>
      </c>
      <c r="F12" s="5" t="s">
        <v>17</v>
      </c>
      <c r="G12" s="6" t="s">
        <v>55</v>
      </c>
      <c r="H12" s="5" t="s">
        <v>56</v>
      </c>
      <c r="I12" s="5" t="s">
        <v>20</v>
      </c>
      <c r="J12" s="5" t="s">
        <v>21</v>
      </c>
    </row>
    <row r="13" spans="1:10" ht="27.75" x14ac:dyDescent="0.2">
      <c r="A13" s="3" t="s">
        <v>57</v>
      </c>
      <c r="B13" s="4" t="s">
        <v>58</v>
      </c>
      <c r="C13" s="4" t="s">
        <v>30</v>
      </c>
      <c r="D13" s="3" t="s">
        <v>15</v>
      </c>
      <c r="E13" s="3" t="s">
        <v>59</v>
      </c>
      <c r="F13" s="3" t="s">
        <v>33</v>
      </c>
      <c r="G13" s="4" t="s">
        <v>60</v>
      </c>
      <c r="H13" s="3" t="s">
        <v>61</v>
      </c>
      <c r="I13" s="3" t="s">
        <v>36</v>
      </c>
      <c r="J13" s="3" t="s">
        <v>37</v>
      </c>
    </row>
    <row r="14" spans="1:10" ht="27.75" x14ac:dyDescent="0.2">
      <c r="A14" s="5" t="s">
        <v>62</v>
      </c>
      <c r="B14" s="6" t="s">
        <v>63</v>
      </c>
      <c r="C14" s="6" t="s">
        <v>14</v>
      </c>
      <c r="D14" s="5" t="s">
        <v>41</v>
      </c>
      <c r="E14" s="5" t="s">
        <v>64</v>
      </c>
      <c r="F14" s="5" t="s">
        <v>17</v>
      </c>
      <c r="G14" s="6" t="s">
        <v>65</v>
      </c>
      <c r="H14" s="5" t="s">
        <v>66</v>
      </c>
      <c r="I14" s="5" t="s">
        <v>20</v>
      </c>
      <c r="J14" s="5" t="s">
        <v>21</v>
      </c>
    </row>
    <row r="15" spans="1:10" ht="27.75" x14ac:dyDescent="0.2">
      <c r="A15" s="3" t="s">
        <v>67</v>
      </c>
      <c r="B15" s="4" t="s">
        <v>68</v>
      </c>
      <c r="C15" s="4" t="s">
        <v>69</v>
      </c>
      <c r="D15" s="3" t="s">
        <v>70</v>
      </c>
      <c r="E15" s="3" t="s">
        <v>71</v>
      </c>
      <c r="F15" s="3" t="s">
        <v>17</v>
      </c>
      <c r="G15" s="4" t="s">
        <v>72</v>
      </c>
      <c r="H15" s="3" t="s">
        <v>61</v>
      </c>
      <c r="I15" s="3" t="s">
        <v>20</v>
      </c>
      <c r="J15" s="3" t="s">
        <v>21</v>
      </c>
    </row>
    <row r="16" spans="1:10" ht="27.75" x14ac:dyDescent="0.2">
      <c r="A16" s="5" t="s">
        <v>73</v>
      </c>
      <c r="B16" s="6" t="s">
        <v>74</v>
      </c>
      <c r="C16" s="6" t="s">
        <v>14</v>
      </c>
      <c r="D16" s="5" t="s">
        <v>15</v>
      </c>
      <c r="E16" s="5" t="s">
        <v>75</v>
      </c>
      <c r="F16" s="5" t="s">
        <v>17</v>
      </c>
      <c r="G16" s="6" t="s">
        <v>76</v>
      </c>
      <c r="H16" s="5" t="s">
        <v>77</v>
      </c>
      <c r="I16" s="5" t="s">
        <v>20</v>
      </c>
      <c r="J16" s="5" t="s">
        <v>21</v>
      </c>
    </row>
    <row r="17" spans="1:10" ht="27.75" x14ac:dyDescent="0.2">
      <c r="A17" s="3" t="s">
        <v>78</v>
      </c>
      <c r="B17" s="4" t="s">
        <v>79</v>
      </c>
      <c r="C17" s="4" t="s">
        <v>80</v>
      </c>
      <c r="D17" s="3" t="s">
        <v>15</v>
      </c>
      <c r="E17" s="3" t="s">
        <v>81</v>
      </c>
      <c r="F17" s="3" t="s">
        <v>82</v>
      </c>
      <c r="G17" s="4" t="s">
        <v>83</v>
      </c>
      <c r="H17" s="3" t="s">
        <v>84</v>
      </c>
      <c r="I17" s="3" t="s">
        <v>36</v>
      </c>
      <c r="J17" s="3" t="s">
        <v>85</v>
      </c>
    </row>
    <row r="18" spans="1:10" ht="27.75" x14ac:dyDescent="0.2">
      <c r="A18" s="5" t="s">
        <v>86</v>
      </c>
      <c r="B18" s="6" t="s">
        <v>87</v>
      </c>
      <c r="C18" s="6" t="s">
        <v>88</v>
      </c>
      <c r="D18" s="5" t="s">
        <v>31</v>
      </c>
      <c r="E18" s="5" t="s">
        <v>35</v>
      </c>
      <c r="F18" s="5" t="s">
        <v>17</v>
      </c>
      <c r="G18" s="6" t="s">
        <v>89</v>
      </c>
      <c r="H18" s="5" t="s">
        <v>90</v>
      </c>
      <c r="I18" s="5" t="s">
        <v>20</v>
      </c>
      <c r="J18" s="5" t="s">
        <v>21</v>
      </c>
    </row>
  </sheetData>
  <mergeCells count="1">
    <mergeCell ref="A2:J2"/>
  </mergeCells>
  <conditionalFormatting sqref="D7:D18">
    <cfRule type="cellIs" dxfId="6" priority="5" operator="equal">
      <formula>"Critical"</formula>
    </cfRule>
    <cfRule type="cellIs" dxfId="5" priority="6" operator="equal">
      <formula>"High"</formula>
    </cfRule>
    <cfRule type="cellIs" dxfId="4" priority="7" operator="equal">
      <formula>"Medium"</formula>
    </cfRule>
  </conditionalFormatting>
  <conditionalFormatting sqref="F7:F18">
    <cfRule type="cellIs" dxfId="3" priority="1" operator="equal">
      <formula>"Closed"</formula>
    </cfRule>
    <cfRule type="cellIs" dxfId="2" priority="2" operator="equal">
      <formula>"In Progress"</formula>
    </cfRule>
    <cfRule type="cellIs" dxfId="1" priority="3" operator="equal">
      <formula>"Pending Verification"</formula>
    </cfRule>
    <cfRule type="cellIs" dxfId="0" priority="4" operator="equal">
      <formula>"Open"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000-000000000000}">
          <x14:formula1>
            <xm:f>'Reference Data'!$A$2:$A$5</xm:f>
          </x14:formula1>
          <xm:sqref>D7:D18</xm:sqref>
        </x14:dataValidation>
        <x14:dataValidation type="list" allowBlank="1" xr:uid="{00000000-0002-0000-0000-000001000000}">
          <x14:formula1>
            <xm:f>'Reference Data'!$B$2:$B$5</xm:f>
          </x14:formula1>
          <xm:sqref>F7:F18</xm:sqref>
        </x14:dataValidation>
        <x14:dataValidation type="list" allowBlank="1" xr:uid="{00000000-0002-0000-0000-000002000000}">
          <x14:formula1>
            <xm:f>'Reference Data'!$C$2:$C$5</xm:f>
          </x14:formula1>
          <xm:sqref>I7:I18</xm:sqref>
        </x14:dataValidation>
        <x14:dataValidation type="list" allowBlank="1" xr:uid="{00000000-0002-0000-0000-000003000000}">
          <x14:formula1>
            <xm:f>'Reference Data'!$D$2:$D$5</xm:f>
          </x14:formula1>
          <xm:sqref>J7:J18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1"/>
  <sheetViews>
    <sheetView workbookViewId="0"/>
  </sheetViews>
  <sheetFormatPr defaultRowHeight="15" x14ac:dyDescent="0.2"/>
  <cols>
    <col min="1" max="1" width="11.97265625" customWidth="1"/>
    <col min="2" max="2" width="30.9375" customWidth="1"/>
    <col min="3" max="3" width="53" customWidth="1"/>
    <col min="4" max="4" width="14.9296875" customWidth="1"/>
    <col min="5" max="5" width="11.97265625" customWidth="1"/>
  </cols>
  <sheetData>
    <row r="2" spans="2:5" ht="21" x14ac:dyDescent="0.3">
      <c r="B2" s="14" t="s">
        <v>91</v>
      </c>
      <c r="C2" s="15"/>
      <c r="D2" s="15"/>
      <c r="E2" s="15"/>
    </row>
    <row r="4" spans="2:5" x14ac:dyDescent="0.2">
      <c r="B4" s="1" t="s">
        <v>92</v>
      </c>
    </row>
    <row r="6" spans="2:5" x14ac:dyDescent="0.2">
      <c r="B6" s="2" t="s">
        <v>93</v>
      </c>
      <c r="C6" s="2" t="s">
        <v>94</v>
      </c>
      <c r="D6" s="2" t="s">
        <v>95</v>
      </c>
    </row>
    <row r="7" spans="2:5" x14ac:dyDescent="0.2">
      <c r="B7" s="7" t="s">
        <v>37</v>
      </c>
      <c r="C7" s="8">
        <f>COUNTIF('Corrective Action Plan'!$F$7:$F$18, B7)</f>
        <v>0</v>
      </c>
      <c r="D7" s="9">
        <f>C7/$C$11</f>
        <v>0</v>
      </c>
    </row>
    <row r="8" spans="2:5" x14ac:dyDescent="0.2">
      <c r="B8" s="7" t="s">
        <v>33</v>
      </c>
      <c r="C8" s="8">
        <f>COUNTIF('Corrective Action Plan'!$F$7:$F$18, B8)</f>
        <v>3</v>
      </c>
      <c r="D8" s="9">
        <f>C8/$C$11</f>
        <v>0.25</v>
      </c>
    </row>
    <row r="9" spans="2:5" x14ac:dyDescent="0.2">
      <c r="B9" s="7" t="s">
        <v>82</v>
      </c>
      <c r="C9" s="8">
        <f>COUNTIF('Corrective Action Plan'!$F$7:$F$18, B9)</f>
        <v>1</v>
      </c>
      <c r="D9" s="9">
        <f>C9/$C$11</f>
        <v>8.3333333333333329E-2</v>
      </c>
    </row>
    <row r="10" spans="2:5" x14ac:dyDescent="0.2">
      <c r="B10" s="7" t="s">
        <v>17</v>
      </c>
      <c r="C10" s="8">
        <f>COUNTIF('Corrective Action Plan'!$F$7:$F$18, B10)</f>
        <v>8</v>
      </c>
      <c r="D10" s="9">
        <f>C10/$C$11</f>
        <v>0.66666666666666663</v>
      </c>
    </row>
    <row r="11" spans="2:5" x14ac:dyDescent="0.2">
      <c r="B11" s="10" t="s">
        <v>96</v>
      </c>
      <c r="C11" s="11">
        <f>SUM(C7:C10)</f>
        <v>12</v>
      </c>
      <c r="D11" s="12">
        <f>SUM(D7:D10)</f>
        <v>1</v>
      </c>
    </row>
  </sheetData>
  <mergeCells count="1">
    <mergeCell ref="B2:E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"/>
  <cols>
    <col min="1" max="1" width="18.96484375" customWidth="1"/>
    <col min="2" max="2" width="23" customWidth="1"/>
    <col min="3" max="3" width="23.9453125" customWidth="1"/>
    <col min="4" max="4" width="18.0234375" customWidth="1"/>
  </cols>
  <sheetData>
    <row r="1" spans="1:4" x14ac:dyDescent="0.2">
      <c r="A1" s="13" t="s">
        <v>97</v>
      </c>
      <c r="B1" s="13" t="s">
        <v>98</v>
      </c>
      <c r="C1" s="13" t="s">
        <v>99</v>
      </c>
      <c r="D1" s="13" t="s">
        <v>100</v>
      </c>
    </row>
    <row r="2" spans="1:4" x14ac:dyDescent="0.2">
      <c r="A2" t="s">
        <v>41</v>
      </c>
      <c r="B2" t="s">
        <v>37</v>
      </c>
      <c r="C2" t="s">
        <v>20</v>
      </c>
      <c r="D2" t="s">
        <v>21</v>
      </c>
    </row>
    <row r="3" spans="1:4" x14ac:dyDescent="0.2">
      <c r="A3" t="s">
        <v>15</v>
      </c>
      <c r="B3" t="s">
        <v>33</v>
      </c>
      <c r="C3" t="s">
        <v>101</v>
      </c>
      <c r="D3" t="s">
        <v>85</v>
      </c>
    </row>
    <row r="4" spans="1:4" x14ac:dyDescent="0.2">
      <c r="A4" t="s">
        <v>31</v>
      </c>
      <c r="B4" t="s">
        <v>82</v>
      </c>
      <c r="C4" t="s">
        <v>36</v>
      </c>
      <c r="D4" t="s">
        <v>37</v>
      </c>
    </row>
    <row r="5" spans="1:4" x14ac:dyDescent="0.2">
      <c r="A5" t="s">
        <v>70</v>
      </c>
      <c r="B5" t="s">
        <v>17</v>
      </c>
      <c r="C5" t="s">
        <v>102</v>
      </c>
      <c r="D5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Corrective Action Plan</vt:lpstr>
      <vt:lpstr>Dashboard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2026-08-26T10:37:12Z</dcterms:created>
  <dcterms:modified xsi:type="dcterms:W3CDTF">2026-08-26T10:37:12Z</dcterms:modified>
</cp:coreProperties>
</file>