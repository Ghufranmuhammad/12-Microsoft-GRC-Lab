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xr:revisionPtr revIDLastSave="0" documentId="8_{BCD69B60-BD14-F943-B663-EB8FFE96F36B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Audit Checklist" sheetId="1" r:id="rId1"/>
    <sheet name="Dashboard" sheetId="2" r:id="rId2"/>
    <sheet name="Reference Data" sheetId="3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" i="2" l="1"/>
  <c r="C8" i="2"/>
  <c r="C9" i="2"/>
  <c r="C10" i="2"/>
  <c r="C11" i="2"/>
  <c r="C12" i="2"/>
  <c r="D7" i="2"/>
  <c r="D8" i="2"/>
  <c r="D9" i="2"/>
  <c r="D10" i="2"/>
  <c r="D11" i="2"/>
  <c r="D12" i="2"/>
</calcChain>
</file>

<file path=xl/sharedStrings.xml><?xml version="1.0" encoding="utf-8"?>
<sst xmlns="http://schemas.openxmlformats.org/spreadsheetml/2006/main" count="164" uniqueCount="129">
  <si>
    <t>INTERNAL AUDIT DETAILED CHECKLIST &amp; TESTING PROGRAM</t>
  </si>
  <si>
    <t>Comprehensive testing questionnaire structured across 5 core security and compliance domains (25 control tests).</t>
  </si>
  <si>
    <t>DOMAIN: GOVERNANCE</t>
  </si>
  <si>
    <t>Ref ID</t>
  </si>
  <si>
    <t>Question / Control Test</t>
  </si>
  <si>
    <t>Requirement</t>
  </si>
  <si>
    <t>Evidence Expected</t>
  </si>
  <si>
    <t>Result</t>
  </si>
  <si>
    <t>Finding / Deficiencies</t>
  </si>
  <si>
    <t>Auditor Notes</t>
  </si>
  <si>
    <t>GOV-001</t>
  </si>
  <si>
    <t>Are information security policies formally documented, approved by executive management, and reviewed annually?</t>
  </si>
  <si>
    <t>ISO 27001 Clause 5.1 &amp; 5.2</t>
  </si>
  <si>
    <t>Signed policy documents, meeting minutes approving policies, version history logs</t>
  </si>
  <si>
    <t>GOV-002</t>
  </si>
  <si>
    <t>Is there an appointed Chief Information Security Officer (CISO) or designated security lead with direct reporting to executive leadership?</t>
  </si>
  <si>
    <t>ISO 27001 Clause 5.3</t>
  </si>
  <si>
    <t>Organizational chart, CISO job description, board reporting charter</t>
  </si>
  <si>
    <t>GOV-003</t>
  </si>
  <si>
    <t>Are information security roles and responsibilities clearly assigned, communicated, and acknowledged by personnel?</t>
  </si>
  <si>
    <t>ISO 27001 Clause 7.2</t>
  </si>
  <si>
    <t>HR job descriptions, signed security acknowledgment forms, intranet policy portal records</t>
  </si>
  <si>
    <t>GOV-004</t>
  </si>
  <si>
    <t>Does the organization conduct mandatory annual security awareness training for all employees upon hire and annually thereafter?</t>
  </si>
  <si>
    <t>ISO 27001 Clause 7.3</t>
  </si>
  <si>
    <t>LMS completion tracking logs, training curriculum syllabus, onboarding checklists</t>
  </si>
  <si>
    <t>GOV-005</t>
  </si>
  <si>
    <t>Is there a formal disciplinary process in place for addressing verified security policy violations?</t>
  </si>
  <si>
    <t>ISO 27001 Clause 7.4</t>
  </si>
  <si>
    <t>Employee handbook, HR disciplinary policy, logged HR incident records</t>
  </si>
  <si>
    <t>DOMAIN: RISK MANAGEMENT</t>
  </si>
  <si>
    <t>RSK-001</t>
  </si>
  <si>
    <t>Is there a formal risk assessment methodology established to identify, analyze, and evaluate information security risks?</t>
  </si>
  <si>
    <t>ISO 27001 Clause 6.1.2</t>
  </si>
  <si>
    <t>Risk assessment policy, methodology documentation, risk matrix criteria</t>
  </si>
  <si>
    <t>RSK-002</t>
  </si>
  <si>
    <t>Is an up-to-date risk register maintained that captures identified risks, asset owners, likelihood, impact, and residual risk scores?</t>
  </si>
  <si>
    <t>Comprehensive risk register spreadsheet or GRC tool export</t>
  </si>
  <si>
    <t>RSK-003</t>
  </si>
  <si>
    <t>Are risk treatment plans formulated for all risks exceeding the organization's established risk appetite threshold?</t>
  </si>
  <si>
    <t>ISO 27001 Clause 6.1.3</t>
  </si>
  <si>
    <t>Risk treatment plans, action tracking logs, management sign-off records</t>
  </si>
  <si>
    <t>RSK-004</t>
  </si>
  <si>
    <t>Is a formal third-party / vendor risk management program implemented to assess supplier security posture prior to onboarding?</t>
  </si>
  <si>
    <t>ISO 27001 Clause 15.1.1</t>
  </si>
  <si>
    <t>Vendor risk assessment policy, completed vendor security questionnaires, SOC2/ISO reports</t>
  </si>
  <si>
    <t>RSK-005</t>
  </si>
  <si>
    <t>Are risk assessments reviewed and updated at least annually or upon significant changes to the technical or business environment?</t>
  </si>
  <si>
    <t>ISO 27001 Clause 8.2</t>
  </si>
  <si>
    <t>Annual risk review meeting minutes, version history of risk register</t>
  </si>
  <si>
    <t>DOMAIN: ACCESS CONTROL</t>
  </si>
  <si>
    <t>ACC-001</t>
  </si>
  <si>
    <t>Is a formal access control policy enforced that governs provisioning, modification, and revocation of user access?</t>
  </si>
  <si>
    <t>ISO 27001 Clause 9.1.1</t>
  </si>
  <si>
    <t>Access control policy document, identity management procedures</t>
  </si>
  <si>
    <t>ACC-002</t>
  </si>
  <si>
    <t>Are user access rights granted based on the principle of least privilege and business need-to-know?</t>
  </si>
  <si>
    <t>ISO 27001 Clause 9.2.1</t>
  </si>
  <si>
    <t>Role-based access matrix, ticket approvals for privilege elevations</t>
  </si>
  <si>
    <t>ACC-003</t>
  </si>
  <si>
    <t>Are user access reviews (re-certifications) performed for all systems containing sensitive data on at least a quarterly basis?</t>
  </si>
  <si>
    <t>ISO 27001 Clause 9.2.5</t>
  </si>
  <si>
    <t>Quarterly access review sign-off sheets, ticketing system review logs</t>
  </si>
  <si>
    <t>ACC-004</t>
  </si>
  <si>
    <t>Is multi-factor authentication (MFA) strictly enforced for all remote connections, cloud environments, and privileged accounts?</t>
  </si>
  <si>
    <t>ISO 27001 Clause 9.4.2</t>
  </si>
  <si>
    <t>IdP (Okta/Azure AD) security policy screenshots, system configuration settings</t>
  </si>
  <si>
    <t>ACC-005</t>
  </si>
  <si>
    <t>Are inactive accounts automatically disabled after a defined period of inactivity (e.g., 90 days), and are terminated user accounts revoked within 24 hours?</t>
  </si>
  <si>
    <t>ISO 27001 Clause 9.2.6</t>
  </si>
  <si>
    <t>Active Directory / IdP auto-disable policy settings, HR-to-IT termination reconciliation logs</t>
  </si>
  <si>
    <t>DOMAIN: DATA PROTECTION</t>
  </si>
  <si>
    <t>DAT-001</t>
  </si>
  <si>
    <t>Is an inventory of information assets and personal data maintained, identifying data classification levels (e.g., Confidential, Internal, Public)?</t>
  </si>
  <si>
    <t>ISO 27001 Clause 8.1.1</t>
  </si>
  <si>
    <t>Information asset register, data classification policy, data flow mapping diagrams</t>
  </si>
  <si>
    <t>DAT-002</t>
  </si>
  <si>
    <t>Is encryption enforced for all sensitive data both at rest (e.g., databases, volumes, laptops) and in transit (e.g., TLS 1.2/1.3)?</t>
  </si>
  <si>
    <t>ISO 27001 Clause 10.1.1</t>
  </si>
  <si>
    <t>AWS/Cloud storage encryption settings, SSL Labs scan reports, MDM full disk encryption reports</t>
  </si>
  <si>
    <t>DAT-003</t>
  </si>
  <si>
    <t>Are secure media handling and disposal procedures enforced for physical and digital media containing sensitive information?</t>
  </si>
  <si>
    <t>ISO 27001 Clause 8.3.1</t>
  </si>
  <si>
    <t>Media disposal policy, certificates of destruction from certified shredding vendors</t>
  </si>
  <si>
    <t>DAT-004</t>
  </si>
  <si>
    <t>Is there a formal data privacy policy compliant with applicable regulations (GDPR/CCPA) regarding data subject rights (access, erasure)?</t>
  </si>
  <si>
    <t>GDPR Chapter III / CCPA</t>
  </si>
  <si>
    <t>Published privacy policy, Data Subject Request (DSR) workflow procedures, DSR logs</t>
  </si>
  <si>
    <t>DAT-005</t>
  </si>
  <si>
    <t>Are cryptographic keys managed securely, including generation, storage, rotation, and revocation procedures?</t>
  </si>
  <si>
    <t>ISO 27001 Clause 10.1.2</t>
  </si>
  <si>
    <t>Key management policy, AWS KMS / HSM configuration logs, key rotation schedules</t>
  </si>
  <si>
    <t>DOMAIN: BUSINESS CONTINUITY</t>
  </si>
  <si>
    <t>BCP-001</t>
  </si>
  <si>
    <t>Are business continuity and disaster recovery (BCDR) plans formally documented, approved, and accessible to key response personnel?</t>
  </si>
  <si>
    <t>ISO 27001 Clause 17.1.1</t>
  </si>
  <si>
    <t>BCDR plan document, distribution list, emergency contact directory</t>
  </si>
  <si>
    <t>BCP-002</t>
  </si>
  <si>
    <t>Are business impact analyses (BIA) conducted to determine Recovery Time Objectives (RTO) and Recovery Point Objectives (RPO) for critical systems?</t>
  </si>
  <si>
    <t>BIA report, critical system dependency mapping, RTO/RPO threshold definitions</t>
  </si>
  <si>
    <t>BCP-003</t>
  </si>
  <si>
    <t>Are automated backups of critical data and systems performed regularly (daily/weekly) with encryption applied to backup media?</t>
  </si>
  <si>
    <t>ISO 27001 Clause 12.3.1</t>
  </si>
  <si>
    <t>Backup job scheduling logs, backup success/failure reports, storage encryption settings</t>
  </si>
  <si>
    <t>BCP-004</t>
  </si>
  <si>
    <t>Are periodic restoration tests performed at least annually to verify the integrity and restorability of backed-up data?</t>
  </si>
  <si>
    <t>Annual backup restoration test reports, data verification logs</t>
  </si>
  <si>
    <t>BCP-005</t>
  </si>
  <si>
    <t>Are business continuity and disaster recovery plans tested via tabletop exercises or simulations at least annually?</t>
  </si>
  <si>
    <t>ISO 27001 Clause 17.1.3</t>
  </si>
  <si>
    <t>Tabletop exercise after-action reports, attendance logs, corrective action tracking items</t>
  </si>
  <si>
    <t>INTERNAL AUDIT CHECKLIST DASHBOARD</t>
  </si>
  <si>
    <t>Audit Results Summary &amp; Metrics</t>
  </si>
  <si>
    <t>Audit Result</t>
  </si>
  <si>
    <t>Question Count</t>
  </si>
  <si>
    <t>% of Total</t>
  </si>
  <si>
    <t>Pass</t>
  </si>
  <si>
    <t>Fail</t>
  </si>
  <si>
    <t>Partial</t>
  </si>
  <si>
    <t>N/A</t>
  </si>
  <si>
    <t>Unreviewed</t>
  </si>
  <si>
    <t>Total Questions</t>
  </si>
  <si>
    <t>Result Options</t>
  </si>
  <si>
    <t>Domains</t>
  </si>
  <si>
    <t>Governance</t>
  </si>
  <si>
    <t>Risk Management</t>
  </si>
  <si>
    <t>Access Control</t>
  </si>
  <si>
    <t>Data Protection</t>
  </si>
  <si>
    <t>Business Continuity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</si>
</sst>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7" x14ac:knownFonts="1">
    <font>
      <sz val="11"/>
      <color theme="1"/>
      <name val="Calibri"/>
      <family val="2"/>
      <scheme val="minor"/>
    </font>
    <font>
      <b/>
      <sz val="11"/>
      <color rgb="FF1F4E79"/>
      <name val="Calibri"/>
    </font>
    <font>
      <b/>
      <sz val="16"/>
      <color rgb="FF1F4E79"/>
      <name val="Calibri"/>
    </font>
    <font>
      <i/>
      <sz val="11"/>
      <color rgb="FF595959"/>
      <name val="Calibri"/>
    </font>
    <font>
      <b/>
      <sz val="12"/>
      <color rgb="FFFFFFFF"/>
      <name val="Calibri"/>
    </font>
    <font>
      <b/>
      <sz val="11"/>
      <color rgb="FFFFFFFF"/>
      <name val="Calibri"/>
    </font>
    <font>
      <sz val="11"/>
      <color rgb="FF333333"/>
      <name val="Calibri"/>
    </font>
  </fonts>
  <fills count="6">
    <fill>
      <patternFill patternType="none"/>
    </fill>
    <fill>
      <patternFill patternType="gray125"/>
    </fill>
    <fill>
      <patternFill patternType="solid">
        <fgColor rgb="FF2F5597"/>
        <bgColor rgb="FF2F5597"/>
      </patternFill>
    </fill>
    <fill>
      <patternFill patternType="solid">
        <fgColor rgb="FF1F4E79"/>
        <bgColor rgb="FF1F4E79"/>
      </patternFill>
    </fill>
    <fill>
      <patternFill patternType="solid">
        <fgColor rgb="FFFFFFFF"/>
        <bgColor rgb="FFFFFFFF"/>
      </patternFill>
    </fill>
    <fill>
      <patternFill patternType="solid">
        <fgColor rgb="FFF2F5F8"/>
        <bgColor rgb="FFF2F5F8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medium">
        <color rgb="FF0D233A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3" fillId="0" borderId="0" xfId="0" applyFont="1"/>
    <xf numFmtId="0" fontId="5" fillId="3" borderId="2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left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3" fontId="6" fillId="0" borderId="1" xfId="0" applyNumberFormat="1" applyFont="1" applyBorder="1" applyAlignment="1">
      <alignment horizontal="right" vertical="center" wrapText="1"/>
    </xf>
    <xf numFmtId="164" fontId="6" fillId="0" borderId="1" xfId="0" applyNumberFormat="1" applyFont="1" applyBorder="1" applyAlignment="1">
      <alignment horizontal="right" vertical="center" wrapText="1"/>
    </xf>
    <xf numFmtId="0" fontId="1" fillId="0" borderId="2" xfId="0" applyFont="1" applyBorder="1" applyAlignment="1">
      <alignment horizontal="left" vertical="center" wrapText="1"/>
    </xf>
    <xf numFmtId="3" fontId="1" fillId="0" borderId="2" xfId="0" applyNumberFormat="1" applyFont="1" applyBorder="1" applyAlignment="1">
      <alignment horizontal="right" vertical="center" wrapText="1"/>
    </xf>
    <xf numFmtId="164" fontId="1" fillId="0" borderId="2" xfId="0" applyNumberFormat="1" applyFont="1" applyBorder="1" applyAlignment="1">
      <alignment horizontal="right" vertical="center" wrapText="1"/>
    </xf>
    <xf numFmtId="0" fontId="1" fillId="0" borderId="0" xfId="0" applyFont="1"/>
    <xf numFmtId="0" fontId="4" fillId="2" borderId="1" xfId="0" applyFont="1" applyFill="1" applyBorder="1" applyAlignment="1">
      <alignment horizontal="left" vertical="center" wrapText="1"/>
    </xf>
    <xf numFmtId="0" fontId="0" fillId="2" borderId="1" xfId="0" applyFill="1" applyBorder="1"/>
    <xf numFmtId="0" fontId="2" fillId="0" borderId="0" xfId="0" applyFont="1"/>
    <xf numFmtId="0" fontId="0" fillId="0" borderId="0" xfId="0"/>
  </cellXfs>
  <cellStyles count="1">
    <cellStyle name="Normal" xfId="0" builtinId="0"/>
  </cellStyles>
  <dxfs count="20">
    <dxf>
      <font>
        <b/>
        <color rgb="FF5D6D7E"/>
      </font>
      <fill>
        <patternFill patternType="solid">
          <fgColor rgb="FFE5E7E9"/>
          <bgColor rgb="FFE5E7E9"/>
        </patternFill>
      </fill>
    </dxf>
    <dxf>
      <font>
        <b/>
        <color rgb="FF7D6608"/>
      </font>
      <fill>
        <patternFill patternType="solid">
          <fgColor rgb="FFFCF3CF"/>
          <bgColor rgb="FFFCF3CF"/>
        </patternFill>
      </fill>
    </dxf>
    <dxf>
      <font>
        <b/>
        <color rgb="FF78281F"/>
      </font>
      <fill>
        <patternFill patternType="solid">
          <fgColor rgb="FFFADBD8"/>
          <bgColor rgb="FFFADBD8"/>
        </patternFill>
      </fill>
    </dxf>
    <dxf>
      <font>
        <b/>
        <color rgb="FF145A32"/>
      </font>
      <fill>
        <patternFill patternType="solid">
          <fgColor rgb="FFD4EFDF"/>
          <bgColor rgb="FFD4EFDF"/>
        </patternFill>
      </fill>
    </dxf>
    <dxf>
      <font>
        <b/>
        <color rgb="FF5D6D7E"/>
      </font>
      <fill>
        <patternFill patternType="solid">
          <fgColor rgb="FFE5E7E9"/>
          <bgColor rgb="FFE5E7E9"/>
        </patternFill>
      </fill>
    </dxf>
    <dxf>
      <font>
        <b/>
        <color rgb="FF7D6608"/>
      </font>
      <fill>
        <patternFill patternType="solid">
          <fgColor rgb="FFFCF3CF"/>
          <bgColor rgb="FFFCF3CF"/>
        </patternFill>
      </fill>
    </dxf>
    <dxf>
      <font>
        <b/>
        <color rgb="FF78281F"/>
      </font>
      <fill>
        <patternFill patternType="solid">
          <fgColor rgb="FFFADBD8"/>
          <bgColor rgb="FFFADBD8"/>
        </patternFill>
      </fill>
    </dxf>
    <dxf>
      <font>
        <b/>
        <color rgb="FF145A32"/>
      </font>
      <fill>
        <patternFill patternType="solid">
          <fgColor rgb="FFD4EFDF"/>
          <bgColor rgb="FFD4EFDF"/>
        </patternFill>
      </fill>
    </dxf>
    <dxf>
      <font>
        <b/>
        <color rgb="FF5D6D7E"/>
      </font>
      <fill>
        <patternFill patternType="solid">
          <fgColor rgb="FFE5E7E9"/>
          <bgColor rgb="FFE5E7E9"/>
        </patternFill>
      </fill>
    </dxf>
    <dxf>
      <font>
        <b/>
        <color rgb="FF7D6608"/>
      </font>
      <fill>
        <patternFill patternType="solid">
          <fgColor rgb="FFFCF3CF"/>
          <bgColor rgb="FFFCF3CF"/>
        </patternFill>
      </fill>
    </dxf>
    <dxf>
      <font>
        <b/>
        <color rgb="FF78281F"/>
      </font>
      <fill>
        <patternFill patternType="solid">
          <fgColor rgb="FFFADBD8"/>
          <bgColor rgb="FFFADBD8"/>
        </patternFill>
      </fill>
    </dxf>
    <dxf>
      <font>
        <b/>
        <color rgb="FF145A32"/>
      </font>
      <fill>
        <patternFill patternType="solid">
          <fgColor rgb="FFD4EFDF"/>
          <bgColor rgb="FFD4EFDF"/>
        </patternFill>
      </fill>
    </dxf>
    <dxf>
      <font>
        <b/>
        <color rgb="FF5D6D7E"/>
      </font>
      <fill>
        <patternFill patternType="solid">
          <fgColor rgb="FFE5E7E9"/>
          <bgColor rgb="FFE5E7E9"/>
        </patternFill>
      </fill>
    </dxf>
    <dxf>
      <font>
        <b/>
        <color rgb="FF7D6608"/>
      </font>
      <fill>
        <patternFill patternType="solid">
          <fgColor rgb="FFFCF3CF"/>
          <bgColor rgb="FFFCF3CF"/>
        </patternFill>
      </fill>
    </dxf>
    <dxf>
      <font>
        <b/>
        <color rgb="FF78281F"/>
      </font>
      <fill>
        <patternFill patternType="solid">
          <fgColor rgb="FFFADBD8"/>
          <bgColor rgb="FFFADBD8"/>
        </patternFill>
      </fill>
    </dxf>
    <dxf>
      <font>
        <b/>
        <color rgb="FF145A32"/>
      </font>
      <fill>
        <patternFill patternType="solid">
          <fgColor rgb="FFD4EFDF"/>
          <bgColor rgb="FFD4EFDF"/>
        </patternFill>
      </fill>
    </dxf>
    <dxf>
      <font>
        <b/>
        <color rgb="FF5D6D7E"/>
      </font>
      <fill>
        <patternFill patternType="solid">
          <fgColor rgb="FFE5E7E9"/>
          <bgColor rgb="FFE5E7E9"/>
        </patternFill>
      </fill>
    </dxf>
    <dxf>
      <font>
        <b/>
        <color rgb="FF7D6608"/>
      </font>
      <fill>
        <patternFill patternType="solid">
          <fgColor rgb="FFFCF3CF"/>
          <bgColor rgb="FFFCF3CF"/>
        </patternFill>
      </fill>
    </dxf>
    <dxf>
      <font>
        <b/>
        <color rgb="FF78281F"/>
      </font>
      <fill>
        <patternFill patternType="solid">
          <fgColor rgb="FFFADBD8"/>
          <bgColor rgb="FFFADBD8"/>
        </patternFill>
      </fill>
    </dxf>
    <dxf>
      <font>
        <b/>
        <color rgb="FF145A32"/>
      </font>
      <fill>
        <patternFill patternType="solid">
          <fgColor rgb="FFD4EFDF"/>
          <bgColor rgb="FFD4EFDF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 /><Relationship Id="rId7" Type="http://schemas.openxmlformats.org/officeDocument/2006/relationships/calcChain" Target="calcChain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sharedStrings" Target="sharedStrings.xml" /><Relationship Id="rId5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G44"/>
  <sheetViews>
    <sheetView tabSelected="1" workbookViewId="0">
      <selection activeCell="B12" sqref="B12"/>
    </sheetView>
  </sheetViews>
  <sheetFormatPr defaultRowHeight="15" x14ac:dyDescent="0.2"/>
  <cols>
    <col min="1" max="1" width="11.97265625" customWidth="1"/>
    <col min="2" max="2" width="45.0625" customWidth="1"/>
    <col min="3" max="3" width="32.015625" customWidth="1"/>
    <col min="4" max="4" width="37.93359375" customWidth="1"/>
    <col min="5" max="5" width="13.98828125" customWidth="1"/>
    <col min="6" max="6" width="34.97265625" customWidth="1"/>
    <col min="7" max="7" width="29.99609375" customWidth="1"/>
  </cols>
  <sheetData>
    <row r="2" spans="1:7" ht="21" x14ac:dyDescent="0.3">
      <c r="A2" s="16" t="s">
        <v>0</v>
      </c>
      <c r="B2" s="17"/>
      <c r="C2" s="17"/>
      <c r="D2" s="17"/>
      <c r="E2" s="17"/>
      <c r="F2" s="17"/>
      <c r="G2" s="17"/>
    </row>
    <row r="3" spans="1:7" x14ac:dyDescent="0.2">
      <c r="A3" s="1" t="s">
        <v>1</v>
      </c>
    </row>
    <row r="6" spans="1:7" x14ac:dyDescent="0.2">
      <c r="A6" s="14" t="s">
        <v>2</v>
      </c>
      <c r="B6" s="15"/>
      <c r="C6" s="15"/>
      <c r="D6" s="15"/>
      <c r="E6" s="15"/>
      <c r="F6" s="15"/>
      <c r="G6" s="15"/>
    </row>
    <row r="7" spans="1:7" x14ac:dyDescent="0.2">
      <c r="A7" s="2" t="s">
        <v>3</v>
      </c>
      <c r="B7" s="2" t="s">
        <v>4</v>
      </c>
      <c r="C7" s="2" t="s">
        <v>5</v>
      </c>
      <c r="D7" s="2" t="s">
        <v>6</v>
      </c>
      <c r="E7" s="2" t="s">
        <v>7</v>
      </c>
      <c r="F7" s="2" t="s">
        <v>8</v>
      </c>
      <c r="G7" s="2" t="s">
        <v>9</v>
      </c>
    </row>
    <row r="8" spans="1:7" ht="41.25" x14ac:dyDescent="0.2">
      <c r="A8" s="3" t="s">
        <v>10</v>
      </c>
      <c r="B8" s="4" t="s">
        <v>11</v>
      </c>
      <c r="C8" s="4" t="s">
        <v>12</v>
      </c>
      <c r="D8" s="4" t="s">
        <v>13</v>
      </c>
      <c r="E8" s="3"/>
      <c r="F8" s="4"/>
      <c r="G8" s="4"/>
    </row>
    <row r="9" spans="1:7" ht="41.25" x14ac:dyDescent="0.2">
      <c r="A9" s="5" t="s">
        <v>14</v>
      </c>
      <c r="B9" s="6" t="s">
        <v>15</v>
      </c>
      <c r="C9" s="6" t="s">
        <v>16</v>
      </c>
      <c r="D9" s="6" t="s">
        <v>17</v>
      </c>
      <c r="E9" s="5"/>
      <c r="F9" s="6"/>
      <c r="G9" s="6"/>
    </row>
    <row r="10" spans="1:7" ht="41.25" x14ac:dyDescent="0.2">
      <c r="A10" s="3" t="s">
        <v>18</v>
      </c>
      <c r="B10" s="4" t="s">
        <v>19</v>
      </c>
      <c r="C10" s="4" t="s">
        <v>20</v>
      </c>
      <c r="D10" s="4" t="s">
        <v>21</v>
      </c>
      <c r="E10" s="3"/>
      <c r="F10" s="4"/>
      <c r="G10" s="4"/>
    </row>
    <row r="11" spans="1:7" ht="41.25" x14ac:dyDescent="0.2">
      <c r="A11" s="5" t="s">
        <v>22</v>
      </c>
      <c r="B11" s="6" t="s">
        <v>23</v>
      </c>
      <c r="C11" s="6" t="s">
        <v>24</v>
      </c>
      <c r="D11" s="6" t="s">
        <v>25</v>
      </c>
      <c r="E11" s="5"/>
      <c r="F11" s="6"/>
      <c r="G11" s="6"/>
    </row>
    <row r="12" spans="1:7" ht="27.75" x14ac:dyDescent="0.2">
      <c r="A12" s="3" t="s">
        <v>26</v>
      </c>
      <c r="B12" s="4" t="s">
        <v>27</v>
      </c>
      <c r="C12" s="4" t="s">
        <v>28</v>
      </c>
      <c r="D12" s="4" t="s">
        <v>29</v>
      </c>
      <c r="E12" s="3"/>
      <c r="F12" s="4"/>
      <c r="G12" s="4"/>
    </row>
    <row r="14" spans="1:7" x14ac:dyDescent="0.2">
      <c r="A14" s="14" t="s">
        <v>30</v>
      </c>
      <c r="B14" s="15"/>
      <c r="C14" s="15"/>
      <c r="D14" s="15"/>
      <c r="E14" s="15"/>
      <c r="F14" s="15"/>
      <c r="G14" s="15"/>
    </row>
    <row r="15" spans="1:7" x14ac:dyDescent="0.2">
      <c r="A15" s="2" t="s">
        <v>3</v>
      </c>
      <c r="B15" s="2" t="s">
        <v>4</v>
      </c>
      <c r="C15" s="2" t="s">
        <v>5</v>
      </c>
      <c r="D15" s="2" t="s">
        <v>6</v>
      </c>
      <c r="E15" s="2" t="s">
        <v>7</v>
      </c>
      <c r="F15" s="2" t="s">
        <v>8</v>
      </c>
      <c r="G15" s="2" t="s">
        <v>9</v>
      </c>
    </row>
    <row r="16" spans="1:7" ht="41.25" x14ac:dyDescent="0.2">
      <c r="A16" s="3" t="s">
        <v>31</v>
      </c>
      <c r="B16" s="4" t="s">
        <v>32</v>
      </c>
      <c r="C16" s="4" t="s">
        <v>33</v>
      </c>
      <c r="D16" s="4" t="s">
        <v>34</v>
      </c>
      <c r="E16" s="3"/>
      <c r="F16" s="4"/>
      <c r="G16" s="4"/>
    </row>
    <row r="17" spans="1:7" ht="41.25" x14ac:dyDescent="0.2">
      <c r="A17" s="5" t="s">
        <v>35</v>
      </c>
      <c r="B17" s="6" t="s">
        <v>36</v>
      </c>
      <c r="C17" s="6" t="s">
        <v>33</v>
      </c>
      <c r="D17" s="6" t="s">
        <v>37</v>
      </c>
      <c r="E17" s="5"/>
      <c r="F17" s="6"/>
      <c r="G17" s="6"/>
    </row>
    <row r="18" spans="1:7" ht="41.25" x14ac:dyDescent="0.2">
      <c r="A18" s="3" t="s">
        <v>38</v>
      </c>
      <c r="B18" s="4" t="s">
        <v>39</v>
      </c>
      <c r="C18" s="4" t="s">
        <v>40</v>
      </c>
      <c r="D18" s="4" t="s">
        <v>41</v>
      </c>
      <c r="E18" s="3"/>
      <c r="F18" s="4"/>
      <c r="G18" s="4"/>
    </row>
    <row r="19" spans="1:7" ht="41.25" x14ac:dyDescent="0.2">
      <c r="A19" s="5" t="s">
        <v>42</v>
      </c>
      <c r="B19" s="6" t="s">
        <v>43</v>
      </c>
      <c r="C19" s="6" t="s">
        <v>44</v>
      </c>
      <c r="D19" s="6" t="s">
        <v>45</v>
      </c>
      <c r="E19" s="5"/>
      <c r="F19" s="6"/>
      <c r="G19" s="6"/>
    </row>
    <row r="20" spans="1:7" ht="41.25" x14ac:dyDescent="0.2">
      <c r="A20" s="3" t="s">
        <v>46</v>
      </c>
      <c r="B20" s="4" t="s">
        <v>47</v>
      </c>
      <c r="C20" s="4" t="s">
        <v>48</v>
      </c>
      <c r="D20" s="4" t="s">
        <v>49</v>
      </c>
      <c r="E20" s="3"/>
      <c r="F20" s="4"/>
      <c r="G20" s="4"/>
    </row>
    <row r="22" spans="1:7" x14ac:dyDescent="0.2">
      <c r="A22" s="14" t="s">
        <v>50</v>
      </c>
      <c r="B22" s="15"/>
      <c r="C22" s="15"/>
      <c r="D22" s="15"/>
      <c r="E22" s="15"/>
      <c r="F22" s="15"/>
      <c r="G22" s="15"/>
    </row>
    <row r="23" spans="1:7" x14ac:dyDescent="0.2">
      <c r="A23" s="2" t="s">
        <v>3</v>
      </c>
      <c r="B23" s="2" t="s">
        <v>4</v>
      </c>
      <c r="C23" s="2" t="s">
        <v>5</v>
      </c>
      <c r="D23" s="2" t="s">
        <v>6</v>
      </c>
      <c r="E23" s="2" t="s">
        <v>7</v>
      </c>
      <c r="F23" s="2" t="s">
        <v>8</v>
      </c>
      <c r="G23" s="2" t="s">
        <v>9</v>
      </c>
    </row>
    <row r="24" spans="1:7" ht="41.25" x14ac:dyDescent="0.2">
      <c r="A24" s="3" t="s">
        <v>51</v>
      </c>
      <c r="B24" s="4" t="s">
        <v>52</v>
      </c>
      <c r="C24" s="4" t="s">
        <v>53</v>
      </c>
      <c r="D24" s="4" t="s">
        <v>54</v>
      </c>
      <c r="E24" s="3"/>
      <c r="F24" s="4"/>
      <c r="G24" s="4"/>
    </row>
    <row r="25" spans="1:7" ht="27.75" x14ac:dyDescent="0.2">
      <c r="A25" s="5" t="s">
        <v>55</v>
      </c>
      <c r="B25" s="6" t="s">
        <v>56</v>
      </c>
      <c r="C25" s="6" t="s">
        <v>57</v>
      </c>
      <c r="D25" s="6" t="s">
        <v>58</v>
      </c>
      <c r="E25" s="5"/>
      <c r="F25" s="6"/>
      <c r="G25" s="6"/>
    </row>
    <row r="26" spans="1:7" ht="41.25" x14ac:dyDescent="0.2">
      <c r="A26" s="3" t="s">
        <v>59</v>
      </c>
      <c r="B26" s="4" t="s">
        <v>60</v>
      </c>
      <c r="C26" s="4" t="s">
        <v>61</v>
      </c>
      <c r="D26" s="4" t="s">
        <v>62</v>
      </c>
      <c r="E26" s="3"/>
      <c r="F26" s="4"/>
      <c r="G26" s="4"/>
    </row>
    <row r="27" spans="1:7" ht="41.25" x14ac:dyDescent="0.2">
      <c r="A27" s="5" t="s">
        <v>63</v>
      </c>
      <c r="B27" s="6" t="s">
        <v>64</v>
      </c>
      <c r="C27" s="6" t="s">
        <v>65</v>
      </c>
      <c r="D27" s="6" t="s">
        <v>66</v>
      </c>
      <c r="E27" s="5"/>
      <c r="F27" s="6"/>
      <c r="G27" s="6"/>
    </row>
    <row r="28" spans="1:7" ht="41.25" x14ac:dyDescent="0.2">
      <c r="A28" s="3" t="s">
        <v>67</v>
      </c>
      <c r="B28" s="4" t="s">
        <v>68</v>
      </c>
      <c r="C28" s="4" t="s">
        <v>69</v>
      </c>
      <c r="D28" s="4" t="s">
        <v>70</v>
      </c>
      <c r="E28" s="3"/>
      <c r="F28" s="4"/>
      <c r="G28" s="4"/>
    </row>
    <row r="30" spans="1:7" x14ac:dyDescent="0.2">
      <c r="A30" s="14" t="s">
        <v>71</v>
      </c>
      <c r="B30" s="15"/>
      <c r="C30" s="15"/>
      <c r="D30" s="15"/>
      <c r="E30" s="15"/>
      <c r="F30" s="15"/>
      <c r="G30" s="15"/>
    </row>
    <row r="31" spans="1:7" x14ac:dyDescent="0.2">
      <c r="A31" s="2" t="s">
        <v>3</v>
      </c>
      <c r="B31" s="2" t="s">
        <v>4</v>
      </c>
      <c r="C31" s="2" t="s">
        <v>5</v>
      </c>
      <c r="D31" s="2" t="s">
        <v>6</v>
      </c>
      <c r="E31" s="2" t="s">
        <v>7</v>
      </c>
      <c r="F31" s="2" t="s">
        <v>8</v>
      </c>
      <c r="G31" s="2" t="s">
        <v>9</v>
      </c>
    </row>
    <row r="32" spans="1:7" ht="41.25" x14ac:dyDescent="0.2">
      <c r="A32" s="3" t="s">
        <v>72</v>
      </c>
      <c r="B32" s="4" t="s">
        <v>73</v>
      </c>
      <c r="C32" s="4" t="s">
        <v>74</v>
      </c>
      <c r="D32" s="4" t="s">
        <v>75</v>
      </c>
      <c r="E32" s="3"/>
      <c r="F32" s="4"/>
      <c r="G32" s="4"/>
    </row>
    <row r="33" spans="1:7" ht="41.25" x14ac:dyDescent="0.2">
      <c r="A33" s="5" t="s">
        <v>76</v>
      </c>
      <c r="B33" s="6" t="s">
        <v>77</v>
      </c>
      <c r="C33" s="6" t="s">
        <v>78</v>
      </c>
      <c r="D33" s="6" t="s">
        <v>79</v>
      </c>
      <c r="E33" s="5"/>
      <c r="F33" s="6"/>
      <c r="G33" s="6"/>
    </row>
    <row r="34" spans="1:7" ht="41.25" x14ac:dyDescent="0.2">
      <c r="A34" s="3" t="s">
        <v>80</v>
      </c>
      <c r="B34" s="4" t="s">
        <v>81</v>
      </c>
      <c r="C34" s="4" t="s">
        <v>82</v>
      </c>
      <c r="D34" s="4" t="s">
        <v>83</v>
      </c>
      <c r="E34" s="3"/>
      <c r="F34" s="4"/>
      <c r="G34" s="4"/>
    </row>
    <row r="35" spans="1:7" ht="41.25" x14ac:dyDescent="0.2">
      <c r="A35" s="5" t="s">
        <v>84</v>
      </c>
      <c r="B35" s="6" t="s">
        <v>85</v>
      </c>
      <c r="C35" s="6" t="s">
        <v>86</v>
      </c>
      <c r="D35" s="6" t="s">
        <v>87</v>
      </c>
      <c r="E35" s="5"/>
      <c r="F35" s="6"/>
      <c r="G35" s="6"/>
    </row>
    <row r="36" spans="1:7" ht="41.25" x14ac:dyDescent="0.2">
      <c r="A36" s="3" t="s">
        <v>88</v>
      </c>
      <c r="B36" s="4" t="s">
        <v>89</v>
      </c>
      <c r="C36" s="4" t="s">
        <v>90</v>
      </c>
      <c r="D36" s="4" t="s">
        <v>91</v>
      </c>
      <c r="E36" s="3"/>
      <c r="F36" s="4"/>
      <c r="G36" s="4"/>
    </row>
    <row r="38" spans="1:7" x14ac:dyDescent="0.2">
      <c r="A38" s="14" t="s">
        <v>92</v>
      </c>
      <c r="B38" s="15"/>
      <c r="C38" s="15"/>
      <c r="D38" s="15"/>
      <c r="E38" s="15"/>
      <c r="F38" s="15"/>
      <c r="G38" s="15"/>
    </row>
    <row r="39" spans="1:7" x14ac:dyDescent="0.2">
      <c r="A39" s="2" t="s">
        <v>3</v>
      </c>
      <c r="B39" s="2" t="s">
        <v>4</v>
      </c>
      <c r="C39" s="2" t="s">
        <v>5</v>
      </c>
      <c r="D39" s="2" t="s">
        <v>6</v>
      </c>
      <c r="E39" s="2" t="s">
        <v>7</v>
      </c>
      <c r="F39" s="2" t="s">
        <v>8</v>
      </c>
      <c r="G39" s="2" t="s">
        <v>9</v>
      </c>
    </row>
    <row r="40" spans="1:7" ht="41.25" x14ac:dyDescent="0.2">
      <c r="A40" s="3" t="s">
        <v>93</v>
      </c>
      <c r="B40" s="4" t="s">
        <v>94</v>
      </c>
      <c r="C40" s="4" t="s">
        <v>95</v>
      </c>
      <c r="D40" s="4" t="s">
        <v>96</v>
      </c>
      <c r="E40" s="3"/>
      <c r="F40" s="4"/>
      <c r="G40" s="4"/>
    </row>
    <row r="41" spans="1:7" ht="41.25" x14ac:dyDescent="0.2">
      <c r="A41" s="5" t="s">
        <v>97</v>
      </c>
      <c r="B41" s="6" t="s">
        <v>98</v>
      </c>
      <c r="C41" s="6" t="s">
        <v>95</v>
      </c>
      <c r="D41" s="6" t="s">
        <v>99</v>
      </c>
      <c r="E41" s="5"/>
      <c r="F41" s="6"/>
      <c r="G41" s="6"/>
    </row>
    <row r="42" spans="1:7" ht="41.25" x14ac:dyDescent="0.2">
      <c r="A42" s="3" t="s">
        <v>100</v>
      </c>
      <c r="B42" s="4" t="s">
        <v>101</v>
      </c>
      <c r="C42" s="4" t="s">
        <v>102</v>
      </c>
      <c r="D42" s="4" t="s">
        <v>103</v>
      </c>
      <c r="E42" s="3"/>
      <c r="F42" s="4"/>
      <c r="G42" s="4"/>
    </row>
    <row r="43" spans="1:7" ht="41.25" x14ac:dyDescent="0.2">
      <c r="A43" s="5" t="s">
        <v>104</v>
      </c>
      <c r="B43" s="6" t="s">
        <v>105</v>
      </c>
      <c r="C43" s="6" t="s">
        <v>102</v>
      </c>
      <c r="D43" s="6" t="s">
        <v>106</v>
      </c>
      <c r="E43" s="5"/>
      <c r="F43" s="6"/>
      <c r="G43" s="6"/>
    </row>
    <row r="44" spans="1:7" ht="41.25" x14ac:dyDescent="0.2">
      <c r="A44" s="3" t="s">
        <v>107</v>
      </c>
      <c r="B44" s="4" t="s">
        <v>108</v>
      </c>
      <c r="C44" s="4" t="s">
        <v>109</v>
      </c>
      <c r="D44" s="4" t="s">
        <v>110</v>
      </c>
      <c r="E44" s="3"/>
      <c r="F44" s="4"/>
      <c r="G44" s="4"/>
    </row>
  </sheetData>
  <mergeCells count="6">
    <mergeCell ref="A38:G38"/>
    <mergeCell ref="A14:G14"/>
    <mergeCell ref="A6:G6"/>
    <mergeCell ref="A22:G22"/>
    <mergeCell ref="A30:G30"/>
    <mergeCell ref="A2:G2"/>
  </mergeCells>
  <conditionalFormatting sqref="E8:E12">
    <cfRule type="cellIs" dxfId="19" priority="1" operator="equal">
      <formula>"Pass"</formula>
    </cfRule>
    <cfRule type="cellIs" dxfId="18" priority="2" operator="equal">
      <formula>"Fail"</formula>
    </cfRule>
    <cfRule type="cellIs" dxfId="17" priority="3" operator="equal">
      <formula>"Partial"</formula>
    </cfRule>
    <cfRule type="cellIs" dxfId="16" priority="4" operator="equal">
      <formula>"N/A"</formula>
    </cfRule>
  </conditionalFormatting>
  <conditionalFormatting sqref="E15:E19">
    <cfRule type="cellIs" dxfId="15" priority="5" operator="equal">
      <formula>"Pass"</formula>
    </cfRule>
    <cfRule type="cellIs" dxfId="14" priority="5" operator="equal">
      <formula>"Fail"</formula>
    </cfRule>
    <cfRule type="cellIs" dxfId="13" priority="5" operator="equal">
      <formula>"Partial"</formula>
    </cfRule>
    <cfRule type="cellIs" dxfId="12" priority="5" operator="equal">
      <formula>"N/A"</formula>
    </cfRule>
  </conditionalFormatting>
  <conditionalFormatting sqref="E22:E26">
    <cfRule type="cellIs" dxfId="11" priority="6" operator="equal">
      <formula>"Pass"</formula>
    </cfRule>
    <cfRule type="cellIs" dxfId="10" priority="6" operator="equal">
      <formula>"Fail"</formula>
    </cfRule>
    <cfRule type="cellIs" dxfId="9" priority="6" operator="equal">
      <formula>"Partial"</formula>
    </cfRule>
    <cfRule type="cellIs" dxfId="8" priority="6" operator="equal">
      <formula>"N/A"</formula>
    </cfRule>
  </conditionalFormatting>
  <conditionalFormatting sqref="E29:E33">
    <cfRule type="cellIs" dxfId="7" priority="7" operator="equal">
      <formula>"Pass"</formula>
    </cfRule>
    <cfRule type="cellIs" dxfId="6" priority="7" operator="equal">
      <formula>"Fail"</formula>
    </cfRule>
    <cfRule type="cellIs" dxfId="5" priority="7" operator="equal">
      <formula>"Partial"</formula>
    </cfRule>
    <cfRule type="cellIs" dxfId="4" priority="7" operator="equal">
      <formula>"N/A"</formula>
    </cfRule>
  </conditionalFormatting>
  <conditionalFormatting sqref="E36:E40">
    <cfRule type="cellIs" dxfId="3" priority="8" operator="equal">
      <formula>"Pass"</formula>
    </cfRule>
    <cfRule type="cellIs" dxfId="2" priority="8" operator="equal">
      <formula>"Fail"</formula>
    </cfRule>
    <cfRule type="cellIs" dxfId="1" priority="8" operator="equal">
      <formula>"Partial"</formula>
    </cfRule>
    <cfRule type="cellIs" dxfId="0" priority="8" operator="equal">
      <formula>"N/A"</formula>
    </cfRule>
  </conditionalFormatting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000-000000000000}">
          <x14:formula1>
            <xm:f>'Reference Data'!$A$2:$A$5</xm:f>
          </x14:formula1>
          <xm:sqref>E8:E12 E15:E19 E22:E26 E29:E33 E36:E40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E12"/>
  <sheetViews>
    <sheetView workbookViewId="0"/>
  </sheetViews>
  <sheetFormatPr defaultRowHeight="15" x14ac:dyDescent="0.2"/>
  <cols>
    <col min="1" max="1" width="11.97265625" customWidth="1"/>
    <col min="2" max="2" width="34.03125" customWidth="1"/>
    <col min="3" max="3" width="260.03515625" customWidth="1"/>
    <col min="4" max="4" width="14.9296875" customWidth="1"/>
    <col min="5" max="5" width="11.97265625" customWidth="1"/>
  </cols>
  <sheetData>
    <row r="2" spans="2:5" ht="21" x14ac:dyDescent="0.3">
      <c r="B2" s="16" t="s">
        <v>111</v>
      </c>
      <c r="C2" s="17"/>
      <c r="D2" s="17"/>
      <c r="E2" s="17"/>
    </row>
    <row r="4" spans="2:5" x14ac:dyDescent="0.2">
      <c r="B4" s="1" t="s">
        <v>112</v>
      </c>
    </row>
    <row r="6" spans="2:5" x14ac:dyDescent="0.2">
      <c r="B6" s="2" t="s">
        <v>113</v>
      </c>
      <c r="C6" s="2" t="s">
        <v>114</v>
      </c>
      <c r="D6" s="2" t="s">
        <v>115</v>
      </c>
    </row>
    <row r="7" spans="2:5" x14ac:dyDescent="0.2">
      <c r="B7" s="7" t="s">
        <v>116</v>
      </c>
      <c r="C7" s="8">
        <f>COUNTIF('Audit Checklist'!$E$8:$E$12, "Pass") + COUNTIF('Audit Checklist'!$E$15:$E$19, "Pass") + COUNTIF('Audit Checklist'!$E$22:$E$26, "Pass") + COUNTIF('Audit Checklist'!$E$29:$E$33, "Pass") + COUNTIF('Audit Checklist'!$E$36:$E$40, "Pass")</f>
        <v>0</v>
      </c>
      <c r="D7" s="9">
        <f>C7/$C$12</f>
        <v>0</v>
      </c>
    </row>
    <row r="8" spans="2:5" x14ac:dyDescent="0.2">
      <c r="B8" s="7" t="s">
        <v>117</v>
      </c>
      <c r="C8" s="8">
        <f>COUNTIF('Audit Checklist'!$E$8:$E$12, "Fail") + COUNTIF('Audit Checklist'!$E$15:$E$19, "Fail") + COUNTIF('Audit Checklist'!$E$22:$E$26, "Fail") + COUNTIF('Audit Checklist'!$E$29:$E$33, "Fail") + COUNTIF('Audit Checklist'!$E$36:$E$40, "Fail")</f>
        <v>0</v>
      </c>
      <c r="D8" s="9">
        <f>C8/$C$12</f>
        <v>0</v>
      </c>
    </row>
    <row r="9" spans="2:5" x14ac:dyDescent="0.2">
      <c r="B9" s="7" t="s">
        <v>118</v>
      </c>
      <c r="C9" s="8">
        <f>COUNTIF('Audit Checklist'!$E$8:$E$12, "Partial") + COUNTIF('Audit Checklist'!$E$15:$E$19, "Partial") + COUNTIF('Audit Checklist'!$E$22:$E$26, "Partial") + COUNTIF('Audit Checklist'!$E$29:$E$33, "Partial") + COUNTIF('Audit Checklist'!$E$36:$E$40, "Partial")</f>
        <v>0</v>
      </c>
      <c r="D9" s="9">
        <f>C9/$C$12</f>
        <v>0</v>
      </c>
    </row>
    <row r="10" spans="2:5" x14ac:dyDescent="0.2">
      <c r="B10" s="7" t="s">
        <v>119</v>
      </c>
      <c r="C10" s="8">
        <f>COUNTIF('Audit Checklist'!$E$8:$E$12, "N/A") + COUNTIF('Audit Checklist'!$E$15:$E$19, "N/A") + COUNTIF('Audit Checklist'!$E$22:$E$26, "N/A") + COUNTIF('Audit Checklist'!$E$29:$E$33, "N/A") + COUNTIF('Audit Checklist'!$E$36:$E$40, "N/A")</f>
        <v>0</v>
      </c>
      <c r="D10" s="9">
        <f>C10/$C$12</f>
        <v>0</v>
      </c>
    </row>
    <row r="11" spans="2:5" x14ac:dyDescent="0.2">
      <c r="B11" s="7" t="s">
        <v>120</v>
      </c>
      <c r="C11" s="8">
        <f>COUNTIF('Audit Checklist'!$E$8:$E$12, "") + COUNTIF('Audit Checklist'!$E$15:$E$19, "") + COUNTIF('Audit Checklist'!$E$22:$E$26, "") + COUNTIF('Audit Checklist'!$E$29:$E$33, "") + COUNTIF('Audit Checklist'!$E$36:$E$40, "")</f>
        <v>21</v>
      </c>
      <c r="D11" s="9">
        <f>C11/$C$12</f>
        <v>1</v>
      </c>
    </row>
    <row r="12" spans="2:5" x14ac:dyDescent="0.2">
      <c r="B12" s="10" t="s">
        <v>121</v>
      </c>
      <c r="C12" s="11">
        <f>SUM(C7:C11)</f>
        <v>21</v>
      </c>
      <c r="D12" s="12">
        <f>SUM(D7:D11)</f>
        <v>1</v>
      </c>
    </row>
  </sheetData>
  <mergeCells count="1">
    <mergeCell ref="B2:E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6"/>
  <sheetViews>
    <sheetView workbookViewId="0"/>
  </sheetViews>
  <sheetFormatPr defaultRowHeight="15" x14ac:dyDescent="0.2"/>
  <cols>
    <col min="1" max="1" width="16.94921875" customWidth="1"/>
    <col min="2" max="2" width="22.05859375" customWidth="1"/>
  </cols>
  <sheetData>
    <row r="1" spans="1:2" x14ac:dyDescent="0.2">
      <c r="A1" s="13" t="s">
        <v>122</v>
      </c>
      <c r="B1" s="13" t="s">
        <v>123</v>
      </c>
    </row>
    <row r="2" spans="1:2" x14ac:dyDescent="0.2">
      <c r="A2" t="s">
        <v>116</v>
      </c>
      <c r="B2" t="s">
        <v>124</v>
      </c>
    </row>
    <row r="3" spans="1:2" x14ac:dyDescent="0.2">
      <c r="A3" t="s">
        <v>117</v>
      </c>
      <c r="B3" t="s">
        <v>125</v>
      </c>
    </row>
    <row r="4" spans="1:2" x14ac:dyDescent="0.2">
      <c r="A4" t="s">
        <v>118</v>
      </c>
      <c r="B4" t="s">
        <v>126</v>
      </c>
    </row>
    <row r="5" spans="1:2" x14ac:dyDescent="0.2">
      <c r="A5" t="s">
        <v>119</v>
      </c>
      <c r="B5" t="s">
        <v>127</v>
      </c>
    </row>
    <row r="6" spans="1:2" x14ac:dyDescent="0.2">
      <c r="B6" t="s">
        <v>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Audit Checklist</vt:lpstr>
      <vt:lpstr>Dashboard</vt:lpstr>
      <vt:lpstr>Reference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2026-08-26T10:34:35Z</dcterms:created>
  <dcterms:modified xsi:type="dcterms:W3CDTF">2026-08-26T10:34:35Z</dcterms:modified>
</cp:coreProperties>
</file>