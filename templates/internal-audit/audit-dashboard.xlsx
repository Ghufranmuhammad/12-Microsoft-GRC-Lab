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5467FD7-4755-8F44-9802-9F905A91ACC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Dashboard" sheetId="1" r:id="rId1"/>
    <sheet name="Reference Dat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1" i="1"/>
  <c r="C16" i="1"/>
  <c r="C15" i="1"/>
  <c r="C14" i="1"/>
  <c r="C13" i="1"/>
  <c r="C12" i="1"/>
  <c r="C10" i="1"/>
  <c r="C9" i="1"/>
  <c r="C8" i="1"/>
  <c r="C6" i="1"/>
</calcChain>
</file>

<file path=xl/sharedStrings.xml><?xml version="1.0" encoding="utf-8"?>
<sst xmlns="http://schemas.openxmlformats.org/spreadsheetml/2006/main" count="24" uniqueCount="17">
  <si>
    <t>INTERNAL AUDIT &amp; COMPLIANCE EXECUTIVE DASHBOARD — FY2026</t>
  </si>
  <si>
    <t>Comprehensive executive overview of audit testing results, findings breakdown, and remediation progress.</t>
  </si>
  <si>
    <t>KEY PERFORMANCE INDICATORS (KPIs)</t>
  </si>
  <si>
    <t>Total Tests</t>
  </si>
  <si>
    <t>Passed</t>
  </si>
  <si>
    <t>Partial</t>
  </si>
  <si>
    <t>Failed</t>
  </si>
  <si>
    <t>Total Findings</t>
  </si>
  <si>
    <t>High Findings</t>
  </si>
  <si>
    <t>Medium Findings</t>
  </si>
  <si>
    <t>Low Findings</t>
  </si>
  <si>
    <t>Open Corrective Actions</t>
  </si>
  <si>
    <t>Overdue Actions</t>
  </si>
  <si>
    <t>Closure Percentage</t>
  </si>
  <si>
    <t>Test Result</t>
  </si>
  <si>
    <t>Count</t>
  </si>
  <si>
    <t>Finding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</si>
</sst>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164" fontId="4" fillId="3" borderId="1" xfId="0" applyNumberFormat="1" applyFont="1" applyFill="1" applyBorder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Audit Test Results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'Reference Data'!B1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'Reference Data'!$A$2:$A$4</c:f>
              <c:strCache>
                <c:ptCount val="3"/>
                <c:pt idx="0">
                  <c:v>Passed</c:v>
                </c:pt>
                <c:pt idx="1">
                  <c:v>Partial</c:v>
                </c:pt>
                <c:pt idx="2">
                  <c:v>Failed</c:v>
                </c:pt>
              </c:strCache>
            </c:strRef>
          </c:cat>
          <c:val>
            <c:numRef>
              <c:f>'Reference Data'!$B$2:$B$4</c:f>
              <c:numCache>
                <c:formatCode>General</c:formatCode>
                <c:ptCount val="3"/>
                <c:pt idx="0">
                  <c:v>20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2-EB45-9758-5FEF00BC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Audit Findings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'Reference Data'!E1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'Reference Data'!$D$2:$D$5</c:f>
              <c:strCache>
                <c:ptCount val="3"/>
                <c:pt idx="0">
                  <c:v>High Findings</c:v>
                </c:pt>
                <c:pt idx="1">
                  <c:v>Medium Findings</c:v>
                </c:pt>
                <c:pt idx="2">
                  <c:v>Low Findings</c:v>
                </c:pt>
              </c:strCache>
            </c:strRef>
          </c:cat>
          <c:val>
            <c:numRef>
              <c:f>'Reference Data'!$E$2:$E$5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6-4A48-B7DE-9FE79ED4B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Findings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6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468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topLeftCell="G1" workbookViewId="0"/>
  </sheetViews>
  <sheetFormatPr defaultRowHeight="15" x14ac:dyDescent="0.2"/>
  <cols>
    <col min="1" max="1" width="11.97265625" customWidth="1"/>
    <col min="2" max="2" width="27.98046875" customWidth="1"/>
    <col min="3" max="4" width="11.97265625" customWidth="1"/>
    <col min="5" max="5" width="6.05078125" customWidth="1"/>
    <col min="6" max="10" width="11.97265625" customWidth="1"/>
  </cols>
  <sheetData>
    <row r="2" spans="2:10" ht="23.25" x14ac:dyDescent="0.3">
      <c r="B2" s="8" t="s">
        <v>0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1" t="s">
        <v>1</v>
      </c>
    </row>
    <row r="5" spans="2:10" x14ac:dyDescent="0.2">
      <c r="B5" s="5" t="s">
        <v>2</v>
      </c>
      <c r="C5" s="6"/>
      <c r="D5" s="6"/>
    </row>
    <row r="6" spans="2:10" x14ac:dyDescent="0.2">
      <c r="B6" s="2" t="s">
        <v>3</v>
      </c>
      <c r="C6" s="3">
        <f>25</f>
        <v>25</v>
      </c>
      <c r="D6" s="4"/>
    </row>
    <row r="7" spans="2:10" x14ac:dyDescent="0.2">
      <c r="B7" s="2" t="s">
        <v>4</v>
      </c>
      <c r="C7" s="3">
        <f>20</f>
        <v>20</v>
      </c>
      <c r="D7" s="4"/>
    </row>
    <row r="8" spans="2:10" x14ac:dyDescent="0.2">
      <c r="B8" s="2" t="s">
        <v>5</v>
      </c>
      <c r="C8" s="3">
        <f>3</f>
        <v>3</v>
      </c>
      <c r="D8" s="4"/>
    </row>
    <row r="9" spans="2:10" x14ac:dyDescent="0.2">
      <c r="B9" s="2" t="s">
        <v>6</v>
      </c>
      <c r="C9" s="3">
        <f>2</f>
        <v>2</v>
      </c>
      <c r="D9" s="4"/>
    </row>
    <row r="10" spans="2:10" x14ac:dyDescent="0.2">
      <c r="B10" s="2" t="s">
        <v>7</v>
      </c>
      <c r="C10" s="3">
        <f>12</f>
        <v>12</v>
      </c>
      <c r="D10" s="4"/>
    </row>
    <row r="11" spans="2:10" x14ac:dyDescent="0.2">
      <c r="B11" s="2" t="s">
        <v>8</v>
      </c>
      <c r="C11" s="3">
        <f>5</f>
        <v>5</v>
      </c>
      <c r="D11" s="4"/>
    </row>
    <row r="12" spans="2:10" x14ac:dyDescent="0.2">
      <c r="B12" s="2" t="s">
        <v>9</v>
      </c>
      <c r="C12" s="3">
        <f>5</f>
        <v>5</v>
      </c>
      <c r="D12" s="4"/>
    </row>
    <row r="13" spans="2:10" x14ac:dyDescent="0.2">
      <c r="B13" s="2" t="s">
        <v>10</v>
      </c>
      <c r="C13" s="3">
        <f>2</f>
        <v>2</v>
      </c>
      <c r="D13" s="4"/>
    </row>
    <row r="14" spans="2:10" x14ac:dyDescent="0.2">
      <c r="B14" s="2" t="s">
        <v>11</v>
      </c>
      <c r="C14" s="3">
        <f>3</f>
        <v>3</v>
      </c>
      <c r="D14" s="4"/>
    </row>
    <row r="15" spans="2:10" x14ac:dyDescent="0.2">
      <c r="B15" s="2" t="s">
        <v>12</v>
      </c>
      <c r="C15" s="3">
        <f>1</f>
        <v>1</v>
      </c>
      <c r="D15" s="4"/>
    </row>
    <row r="16" spans="2:10" x14ac:dyDescent="0.2">
      <c r="B16" s="2" t="s">
        <v>13</v>
      </c>
      <c r="C16" s="7">
        <f>C7/C11</f>
        <v>4</v>
      </c>
      <c r="D16" s="4"/>
    </row>
  </sheetData>
  <mergeCells count="13">
    <mergeCell ref="B2:J2"/>
    <mergeCell ref="C16:D16"/>
    <mergeCell ref="C15:D15"/>
    <mergeCell ref="C11:D11"/>
    <mergeCell ref="C14:D14"/>
    <mergeCell ref="C13:D13"/>
    <mergeCell ref="C12:D12"/>
    <mergeCell ref="B5:D5"/>
    <mergeCell ref="C6:D6"/>
    <mergeCell ref="C7:D7"/>
    <mergeCell ref="C10:D10"/>
    <mergeCell ref="C9:D9"/>
    <mergeCell ref="C8:D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"/>
  <cols>
    <col min="1" max="1" width="13.98828125" customWidth="1"/>
    <col min="2" max="3" width="11.97265625" customWidth="1"/>
    <col min="4" max="4" width="18.96484375" customWidth="1"/>
    <col min="5" max="5" width="11.97265625" customWidth="1"/>
  </cols>
  <sheetData>
    <row r="1" spans="1:5" x14ac:dyDescent="0.2">
      <c r="A1" t="s">
        <v>14</v>
      </c>
      <c r="B1" t="s">
        <v>15</v>
      </c>
      <c r="D1" t="s">
        <v>16</v>
      </c>
      <c r="E1" t="s">
        <v>15</v>
      </c>
    </row>
    <row r="2" spans="1:5" x14ac:dyDescent="0.2">
      <c r="A2" t="s">
        <v>4</v>
      </c>
      <c r="B2">
        <v>20</v>
      </c>
      <c r="D2" t="s">
        <v>8</v>
      </c>
      <c r="E2">
        <v>5</v>
      </c>
    </row>
    <row r="3" spans="1:5" x14ac:dyDescent="0.2">
      <c r="A3" t="s">
        <v>5</v>
      </c>
      <c r="B3">
        <v>3</v>
      </c>
      <c r="D3" t="s">
        <v>9</v>
      </c>
      <c r="E3">
        <v>5</v>
      </c>
    </row>
    <row r="4" spans="1:5" x14ac:dyDescent="0.2">
      <c r="A4" t="s">
        <v>6</v>
      </c>
      <c r="B4">
        <v>2</v>
      </c>
      <c r="D4" t="s">
        <v>10</v>
      </c>
      <c r="E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2026-08-26T10:37:59Z</dcterms:created>
  <dcterms:modified xsi:type="dcterms:W3CDTF">2026-08-26T10:37:59Z</dcterms:modified>
</cp:coreProperties>
</file>