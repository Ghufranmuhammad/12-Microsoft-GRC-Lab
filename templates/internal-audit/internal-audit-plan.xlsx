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8_{A2E42744-DDB0-9F47-AD8B-AD0B666AE18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Audit Plan" sheetId="1" r:id="rId1"/>
    <sheet name="Dashboard" sheetId="2" r:id="rId2"/>
    <sheet name="Reference Data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2" l="1"/>
  <c r="C8" i="2"/>
  <c r="C9" i="2"/>
  <c r="C10" i="2"/>
  <c r="C11" i="2"/>
  <c r="C12" i="2"/>
  <c r="D7" i="2"/>
  <c r="D12" i="2"/>
  <c r="D11" i="2"/>
  <c r="D10" i="2"/>
  <c r="D9" i="2"/>
  <c r="D8" i="2"/>
</calcChain>
</file>

<file path=xl/sharedStrings.xml><?xml version="1.0" encoding="utf-8"?>
<sst xmlns="http://schemas.openxmlformats.org/spreadsheetml/2006/main" count="174" uniqueCount="123">
  <si>
    <t>INTERNAL AUDIT MASTER PLAN &amp; TEST SCHEDULE</t>
  </si>
  <si>
    <t>Detailed listing of internal audit tests, compliance requirements, evidence, and execution status.</t>
  </si>
  <si>
    <t>Audit ID</t>
  </si>
  <si>
    <t>Audit Area</t>
  </si>
  <si>
    <t>Control / Requirement</t>
  </si>
  <si>
    <t>Owner</t>
  </si>
  <si>
    <t>Evidence Required</t>
  </si>
  <si>
    <t>Test Method</t>
  </si>
  <si>
    <t>Planned Date</t>
  </si>
  <si>
    <t>Status</t>
  </si>
  <si>
    <t>Notes / Comments</t>
  </si>
  <si>
    <t>AUD-001</t>
  </si>
  <si>
    <t>Access Control</t>
  </si>
  <si>
    <t>SOC2 CC6.1 - User Access Review performed quarterly</t>
  </si>
  <si>
    <t>J. Smith</t>
  </si>
  <si>
    <t>Quarterly review sign-off sheets &amp; ticketing logs</t>
  </si>
  <si>
    <t>Sample 25 privileged users and verify documented management approval</t>
  </si>
  <si>
    <t>2026-03-15</t>
  </si>
  <si>
    <t>Closed</t>
  </si>
  <si>
    <t>Completed with zero exceptions noted.</t>
  </si>
  <si>
    <t>AUD-002</t>
  </si>
  <si>
    <t>ISO 27001 A.9.2.6 - Removal of access rights upon termination</t>
  </si>
  <si>
    <t>HR termination notices and Active Directory disable timestamps</t>
  </si>
  <si>
    <t>Cross-reference HR termination report with AD deactivation logs for 15 samples</t>
  </si>
  <si>
    <t>2026-03-30</t>
  </si>
  <si>
    <t>Fieldwork Complete</t>
  </si>
  <si>
    <t>Pending final confirmation on 2 contractor accounts.</t>
  </si>
  <si>
    <t>AUD-003</t>
  </si>
  <si>
    <t>Change Management</t>
  </si>
  <si>
    <t>SOC2 CC8.1 - Changes tested and approved prior to production deployment</t>
  </si>
  <si>
    <t>M. Davis</t>
  </si>
  <si>
    <t>Change tickets, QA test sign-offs, and deployment logs</t>
  </si>
  <si>
    <t>Sample 20 production changes and inspect approval workflows</t>
  </si>
  <si>
    <t>2026-04-10</t>
  </si>
  <si>
    <t>In Progress</t>
  </si>
  <si>
    <t>Testing in progress; 3 tickets missing QA sign-off.</t>
  </si>
  <si>
    <t>AUD-004</t>
  </si>
  <si>
    <t>ISO 27001 A.12.1.2 - Emergency change documentation and retroactive approval</t>
  </si>
  <si>
    <t>Emergency change tickets and Post-Incident Review docs</t>
  </si>
  <si>
    <t>Inspect all emergency changes for Q1 and verify retroactive approval within 48h</t>
  </si>
  <si>
    <t>2026-04-20</t>
  </si>
  <si>
    <t>Not Started</t>
  </si>
  <si>
    <t>Scheduled for next sprint.</t>
  </si>
  <si>
    <t>AUD-005</t>
  </si>
  <si>
    <t>Data Privacy &amp; GDPR</t>
  </si>
  <si>
    <t>GDPR Art. 32 - Encryption of personal data at rest and in transit</t>
  </si>
  <si>
    <t>A. Johnson</t>
  </si>
  <si>
    <t>Cloud configuration exports and SSL/TLS cipher suite reports</t>
  </si>
  <si>
    <t>Review AWS KMS key policies and SSL Labs scan results for public endpoints</t>
  </si>
  <si>
    <t>2026-05-05</t>
  </si>
  <si>
    <t>Scheduled.</t>
  </si>
  <si>
    <t>AUD-006</t>
  </si>
  <si>
    <t>GDPR Art. 17 - Data subject erasure ('Right to be Forgotten') mechanism</t>
  </si>
  <si>
    <t>Data deletion logs and automated script execution reports</t>
  </si>
  <si>
    <t>Walkthrough data deletion workflow and inspect sample deletion logs</t>
  </si>
  <si>
    <t>2026-05-18</t>
  </si>
  <si>
    <t>AUD-007</t>
  </si>
  <si>
    <t>Incident Management</t>
  </si>
  <si>
    <t>SOC2 CC7.3 - Security incidents detected, logged, and investigated timely</t>
  </si>
  <si>
    <t>R. Taylor</t>
  </si>
  <si>
    <t>SIEM alert logs, incident response tickets, and post-mortem reports</t>
  </si>
  <si>
    <t>Sample 10 security alerts and verify response time against SLA</t>
  </si>
  <si>
    <t>2026-06-01</t>
  </si>
  <si>
    <t>AUD-008</t>
  </si>
  <si>
    <t>Vendor Risk Management</t>
  </si>
  <si>
    <t>ISO 27001 A.15.1.1 - Third-party security risk assessment prior to onboarding</t>
  </si>
  <si>
    <t>S. Lee</t>
  </si>
  <si>
    <t>Completed vendor questionnaires, SOC2 reports, and risk scoring sheets</t>
  </si>
  <si>
    <t>Sample 8 critical third-party vendors and review due diligence files</t>
  </si>
  <si>
    <t>2026-06-15</t>
  </si>
  <si>
    <t>AUD-009</t>
  </si>
  <si>
    <t>Backup &amp; Recovery</t>
  </si>
  <si>
    <t>SOC2 CC9.1 - Regular backups of critical data and periodic restoration testing</t>
  </si>
  <si>
    <t>K. Patel</t>
  </si>
  <si>
    <t>Backup job execution reports and annual restoration test results</t>
  </si>
  <si>
    <t>Inspect Q1 backup logs and observe annual database restoration test</t>
  </si>
  <si>
    <t>2026-07-01</t>
  </si>
  <si>
    <t>AUD-010</t>
  </si>
  <si>
    <t>Physical Security</t>
  </si>
  <si>
    <t>ISO 27001 A.11.1.6 - Visitor access controls and escort logging</t>
  </si>
  <si>
    <t>P. Gomez</t>
  </si>
  <si>
    <t>Visitor sign-in logs and CCTV retention policies</t>
  </si>
  <si>
    <t>Sample 5 days of visitor logs and reconcile with physical badge swipes</t>
  </si>
  <si>
    <t>2026-07-20</t>
  </si>
  <si>
    <t>AUD-011</t>
  </si>
  <si>
    <t>Network Security</t>
  </si>
  <si>
    <t>ISO 27001 A.13.1.1 - Firewall rule review and unnecessary port restriction</t>
  </si>
  <si>
    <t>N. Vance</t>
  </si>
  <si>
    <t>Firewall rulebase configuration and bi-annual review sign-offs</t>
  </si>
  <si>
    <t>Review firewall change logs and verify bi-annual rule review was performed</t>
  </si>
  <si>
    <t>2026-08-05</t>
  </si>
  <si>
    <t>AUD-012</t>
  </si>
  <si>
    <t>Asset Management</t>
  </si>
  <si>
    <t>ISO 27001 A.8.1.1 - Inventory of hardware and software assets maintained</t>
  </si>
  <si>
    <t>E. Wright</t>
  </si>
  <si>
    <t>MDM inventory export and software asset management (SAM) database</t>
  </si>
  <si>
    <t>Reconcile MDM active device list with HR active employee roster</t>
  </si>
  <si>
    <t>2026-08-22</t>
  </si>
  <si>
    <t>AUD-013</t>
  </si>
  <si>
    <t>HR Security</t>
  </si>
  <si>
    <t>ISO 27001 A.7.1.1 - Background screening for employees handling sensitive data</t>
  </si>
  <si>
    <t>H. Green</t>
  </si>
  <si>
    <t>Background check confirmation letters from screening provider</t>
  </si>
  <si>
    <t>Sample 12 newly hired employees and verify background check completion certificate</t>
  </si>
  <si>
    <t>2026-09-10</t>
  </si>
  <si>
    <t>AUD-014</t>
  </si>
  <si>
    <t>ISO 27001 A.7.2.2 - Information security awareness training for all staff</t>
  </si>
  <si>
    <t>LMS completion reports and annual training tracking records</t>
  </si>
  <si>
    <t>Inspect Q2 company-wide security training completion report for compliance rate</t>
  </si>
  <si>
    <t>2026-09-25</t>
  </si>
  <si>
    <t>AUD-015</t>
  </si>
  <si>
    <t>SOC2 CC6.3 - Password complexity and Multi-Factor Authentication (MFA) enforced</t>
  </si>
  <si>
    <t>IdP (Okta/Azure AD) security policy settings and user configuration export</t>
  </si>
  <si>
    <t>Verify IdP policy enforces 12+ char complexity, lockout, and mandatory MFA</t>
  </si>
  <si>
    <t>2026-10-10</t>
  </si>
  <si>
    <t>INTERNAL AUDIT DASHBOARD — FY2026</t>
  </si>
  <si>
    <t>Audit Plan Summary &amp; Metrics</t>
  </si>
  <si>
    <t>Test Count</t>
  </si>
  <si>
    <t>% of Total</t>
  </si>
  <si>
    <t>Draft Report</t>
  </si>
  <si>
    <t>Total Audits</t>
  </si>
  <si>
    <t>Status Options</t>
  </si>
  <si>
    <t>Audit Areas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</si>
</sst>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b/>
      <sz val="11"/>
      <color rgb="FF2C3E50"/>
      <name val="Calibri"/>
    </font>
    <font>
      <b/>
      <sz val="16"/>
      <color rgb="FF2C3E50"/>
      <name val="Calibri"/>
    </font>
    <font>
      <i/>
      <sz val="11"/>
      <color rgb="FF7F8C8D"/>
      <name val="Calibri"/>
    </font>
    <font>
      <b/>
      <sz val="11"/>
      <color rgb="FFFFFFFF"/>
      <name val="Calibri"/>
    </font>
    <font>
      <sz val="11"/>
      <color rgb="FF333333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A252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3" fontId="5" fillId="0" borderId="2" xfId="0" applyNumberFormat="1" applyFont="1" applyBorder="1" applyAlignment="1">
      <alignment horizontal="right" vertical="center" wrapText="1"/>
    </xf>
    <xf numFmtId="164" fontId="5" fillId="0" borderId="2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horizontal="left" vertical="center" wrapText="1"/>
    </xf>
    <xf numFmtId="3" fontId="1" fillId="0" borderId="1" xfId="0" applyNumberFormat="1" applyFont="1" applyBorder="1" applyAlignment="1">
      <alignment horizontal="right" vertical="center" wrapText="1"/>
    </xf>
    <xf numFmtId="164" fontId="1" fillId="0" borderId="1" xfId="0" applyNumberFormat="1" applyFont="1" applyBorder="1" applyAlignment="1">
      <alignment horizontal="right" vertical="center" wrapText="1"/>
    </xf>
    <xf numFmtId="0" fontId="1" fillId="0" borderId="0" xfId="0" applyFont="1"/>
    <xf numFmtId="0" fontId="2" fillId="0" borderId="0" xfId="0" applyFont="1"/>
    <xf numFmtId="0" fontId="0" fillId="0" borderId="0" xfId="0"/>
  </cellXfs>
  <cellStyles count="1">
    <cellStyle name="Normal" xfId="0" builtinId="0"/>
  </cellStyles>
  <dxfs count="4">
    <dxf>
      <font>
        <b/>
        <color rgb="FF78281F"/>
      </font>
      <fill>
        <patternFill patternType="solid">
          <fgColor rgb="FFFADBD8"/>
          <bgColor rgb="FFFADBD8"/>
        </patternFill>
      </fill>
    </dxf>
    <dxf>
      <font>
        <b/>
        <color rgb="FF7D6608"/>
      </font>
      <fill>
        <patternFill patternType="solid">
          <fgColor rgb="FFFCF3CF"/>
          <bgColor rgb="FFFCF3CF"/>
        </patternFill>
      </fill>
    </dxf>
    <dxf>
      <font>
        <b/>
        <color rgb="FF145A32"/>
      </font>
      <fill>
        <patternFill patternType="solid">
          <fgColor rgb="FFD4EFDF"/>
          <bgColor rgb="FFD4EFDF"/>
        </patternFill>
      </fill>
    </dxf>
    <dxf>
      <font>
        <b/>
        <color rgb="FF145A32"/>
      </font>
      <fill>
        <patternFill patternType="solid">
          <fgColor rgb="FFD4EFDF"/>
          <bgColor rgb="FFD4EFDF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t>Audit Status Breakdown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Dashboard!C6</c:f>
              <c:strCache>
                <c:ptCount val="1"/>
                <c:pt idx="0">
                  <c:v>Test Count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Dashboard!$B$7:$B$11</c:f>
              <c:strCache>
                <c:ptCount val="5"/>
                <c:pt idx="0">
                  <c:v>Not Started</c:v>
                </c:pt>
                <c:pt idx="1">
                  <c:v>In Progress</c:v>
                </c:pt>
                <c:pt idx="2">
                  <c:v>Fieldwork Complete</c:v>
                </c:pt>
                <c:pt idx="3">
                  <c:v>Draft Report</c:v>
                </c:pt>
                <c:pt idx="4">
                  <c:v>Closed</c:v>
                </c:pt>
              </c:strCache>
            </c:strRef>
          </c:cat>
          <c:val>
            <c:numRef>
              <c:f>Dashboard!$C$7:$C$11</c:f>
              <c:numCache>
                <c:formatCode>#,##0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30-9E46-8283-2E2C21CEC4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Status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Number of Tests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5</xdr:row>
      <xdr:rowOff>0</xdr:rowOff>
    </xdr:from>
    <xdr:ext cx="5040000" cy="30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21"/>
  <sheetViews>
    <sheetView tabSelected="1" topLeftCell="B2" workbookViewId="0"/>
  </sheetViews>
  <sheetFormatPr defaultRowHeight="15" x14ac:dyDescent="0.2"/>
  <cols>
    <col min="1" max="1" width="13.98828125" customWidth="1"/>
    <col min="2" max="2" width="23.9453125" customWidth="1"/>
    <col min="3" max="3" width="37.93359375" customWidth="1"/>
    <col min="4" max="4" width="16.0078125" customWidth="1"/>
    <col min="5" max="5" width="37.93359375" customWidth="1"/>
    <col min="6" max="6" width="41.96875" customWidth="1"/>
    <col min="7" max="7" width="16.0078125" customWidth="1"/>
    <col min="8" max="8" width="22.05859375" customWidth="1"/>
    <col min="9" max="9" width="34.97265625" customWidth="1"/>
  </cols>
  <sheetData>
    <row r="2" spans="1:9" ht="21" x14ac:dyDescent="0.3">
      <c r="A2" s="14" t="s">
        <v>0</v>
      </c>
      <c r="B2" s="15"/>
      <c r="C2" s="15"/>
      <c r="D2" s="15"/>
      <c r="E2" s="15"/>
      <c r="F2" s="15"/>
      <c r="G2" s="15"/>
      <c r="H2" s="15"/>
      <c r="I2" s="15"/>
    </row>
    <row r="3" spans="1:9" x14ac:dyDescent="0.2">
      <c r="A3" s="1" t="s">
        <v>1</v>
      </c>
    </row>
    <row r="6" spans="1:9" x14ac:dyDescent="0.2">
      <c r="A6" s="2" t="s">
        <v>2</v>
      </c>
      <c r="B6" s="2" t="s">
        <v>3</v>
      </c>
      <c r="C6" s="2" t="s">
        <v>4</v>
      </c>
      <c r="D6" s="2" t="s">
        <v>5</v>
      </c>
      <c r="E6" s="2" t="s">
        <v>6</v>
      </c>
      <c r="F6" s="2" t="s">
        <v>7</v>
      </c>
      <c r="G6" s="2" t="s">
        <v>8</v>
      </c>
      <c r="H6" s="2" t="s">
        <v>9</v>
      </c>
      <c r="I6" s="2" t="s">
        <v>10</v>
      </c>
    </row>
    <row r="7" spans="1:9" ht="27.75" x14ac:dyDescent="0.2">
      <c r="A7" s="3" t="s">
        <v>11</v>
      </c>
      <c r="B7" s="4" t="s">
        <v>12</v>
      </c>
      <c r="C7" s="4" t="s">
        <v>13</v>
      </c>
      <c r="D7" s="4" t="s">
        <v>14</v>
      </c>
      <c r="E7" s="4" t="s">
        <v>15</v>
      </c>
      <c r="F7" s="4" t="s">
        <v>16</v>
      </c>
      <c r="G7" s="3" t="s">
        <v>17</v>
      </c>
      <c r="H7" s="3" t="s">
        <v>18</v>
      </c>
      <c r="I7" s="4" t="s">
        <v>19</v>
      </c>
    </row>
    <row r="8" spans="1:9" ht="27.75" x14ac:dyDescent="0.2">
      <c r="A8" s="5" t="s">
        <v>20</v>
      </c>
      <c r="B8" s="6" t="s">
        <v>12</v>
      </c>
      <c r="C8" s="6" t="s">
        <v>21</v>
      </c>
      <c r="D8" s="6" t="s">
        <v>14</v>
      </c>
      <c r="E8" s="6" t="s">
        <v>22</v>
      </c>
      <c r="F8" s="6" t="s">
        <v>23</v>
      </c>
      <c r="G8" s="5" t="s">
        <v>24</v>
      </c>
      <c r="H8" s="5" t="s">
        <v>25</v>
      </c>
      <c r="I8" s="6" t="s">
        <v>26</v>
      </c>
    </row>
    <row r="9" spans="1:9" ht="27.75" x14ac:dyDescent="0.2">
      <c r="A9" s="3" t="s">
        <v>27</v>
      </c>
      <c r="B9" s="4" t="s">
        <v>28</v>
      </c>
      <c r="C9" s="4" t="s">
        <v>29</v>
      </c>
      <c r="D9" s="4" t="s">
        <v>30</v>
      </c>
      <c r="E9" s="4" t="s">
        <v>31</v>
      </c>
      <c r="F9" s="4" t="s">
        <v>32</v>
      </c>
      <c r="G9" s="3" t="s">
        <v>33</v>
      </c>
      <c r="H9" s="3" t="s">
        <v>34</v>
      </c>
      <c r="I9" s="4" t="s">
        <v>35</v>
      </c>
    </row>
    <row r="10" spans="1:9" ht="27.75" x14ac:dyDescent="0.2">
      <c r="A10" s="5" t="s">
        <v>36</v>
      </c>
      <c r="B10" s="6" t="s">
        <v>28</v>
      </c>
      <c r="C10" s="6" t="s">
        <v>37</v>
      </c>
      <c r="D10" s="6" t="s">
        <v>30</v>
      </c>
      <c r="E10" s="6" t="s">
        <v>38</v>
      </c>
      <c r="F10" s="6" t="s">
        <v>39</v>
      </c>
      <c r="G10" s="5" t="s">
        <v>40</v>
      </c>
      <c r="H10" s="5" t="s">
        <v>41</v>
      </c>
      <c r="I10" s="6" t="s">
        <v>42</v>
      </c>
    </row>
    <row r="11" spans="1:9" ht="27.75" x14ac:dyDescent="0.2">
      <c r="A11" s="3" t="s">
        <v>43</v>
      </c>
      <c r="B11" s="4" t="s">
        <v>44</v>
      </c>
      <c r="C11" s="4" t="s">
        <v>45</v>
      </c>
      <c r="D11" s="4" t="s">
        <v>46</v>
      </c>
      <c r="E11" s="4" t="s">
        <v>47</v>
      </c>
      <c r="F11" s="4" t="s">
        <v>48</v>
      </c>
      <c r="G11" s="3" t="s">
        <v>49</v>
      </c>
      <c r="H11" s="3" t="s">
        <v>41</v>
      </c>
      <c r="I11" s="4" t="s">
        <v>50</v>
      </c>
    </row>
    <row r="12" spans="1:9" ht="27.75" x14ac:dyDescent="0.2">
      <c r="A12" s="5" t="s">
        <v>51</v>
      </c>
      <c r="B12" s="6" t="s">
        <v>44</v>
      </c>
      <c r="C12" s="6" t="s">
        <v>52</v>
      </c>
      <c r="D12" s="6" t="s">
        <v>46</v>
      </c>
      <c r="E12" s="6" t="s">
        <v>53</v>
      </c>
      <c r="F12" s="6" t="s">
        <v>54</v>
      </c>
      <c r="G12" s="5" t="s">
        <v>55</v>
      </c>
      <c r="H12" s="5" t="s">
        <v>41</v>
      </c>
      <c r="I12" s="6" t="s">
        <v>50</v>
      </c>
    </row>
    <row r="13" spans="1:9" ht="27.75" x14ac:dyDescent="0.2">
      <c r="A13" s="3" t="s">
        <v>56</v>
      </c>
      <c r="B13" s="4" t="s">
        <v>57</v>
      </c>
      <c r="C13" s="4" t="s">
        <v>58</v>
      </c>
      <c r="D13" s="4" t="s">
        <v>59</v>
      </c>
      <c r="E13" s="4" t="s">
        <v>60</v>
      </c>
      <c r="F13" s="4" t="s">
        <v>61</v>
      </c>
      <c r="G13" s="3" t="s">
        <v>62</v>
      </c>
      <c r="H13" s="3" t="s">
        <v>41</v>
      </c>
      <c r="I13" s="4" t="s">
        <v>50</v>
      </c>
    </row>
    <row r="14" spans="1:9" ht="27.75" x14ac:dyDescent="0.2">
      <c r="A14" s="5" t="s">
        <v>63</v>
      </c>
      <c r="B14" s="6" t="s">
        <v>64</v>
      </c>
      <c r="C14" s="6" t="s">
        <v>65</v>
      </c>
      <c r="D14" s="6" t="s">
        <v>66</v>
      </c>
      <c r="E14" s="6" t="s">
        <v>67</v>
      </c>
      <c r="F14" s="6" t="s">
        <v>68</v>
      </c>
      <c r="G14" s="5" t="s">
        <v>69</v>
      </c>
      <c r="H14" s="5" t="s">
        <v>41</v>
      </c>
      <c r="I14" s="6" t="s">
        <v>50</v>
      </c>
    </row>
    <row r="15" spans="1:9" ht="27.75" x14ac:dyDescent="0.2">
      <c r="A15" s="3" t="s">
        <v>70</v>
      </c>
      <c r="B15" s="4" t="s">
        <v>71</v>
      </c>
      <c r="C15" s="4" t="s">
        <v>72</v>
      </c>
      <c r="D15" s="4" t="s">
        <v>73</v>
      </c>
      <c r="E15" s="4" t="s">
        <v>74</v>
      </c>
      <c r="F15" s="4" t="s">
        <v>75</v>
      </c>
      <c r="G15" s="3" t="s">
        <v>76</v>
      </c>
      <c r="H15" s="3" t="s">
        <v>41</v>
      </c>
      <c r="I15" s="4" t="s">
        <v>50</v>
      </c>
    </row>
    <row r="16" spans="1:9" ht="27.75" x14ac:dyDescent="0.2">
      <c r="A16" s="5" t="s">
        <v>77</v>
      </c>
      <c r="B16" s="6" t="s">
        <v>78</v>
      </c>
      <c r="C16" s="6" t="s">
        <v>79</v>
      </c>
      <c r="D16" s="6" t="s">
        <v>80</v>
      </c>
      <c r="E16" s="6" t="s">
        <v>81</v>
      </c>
      <c r="F16" s="6" t="s">
        <v>82</v>
      </c>
      <c r="G16" s="5" t="s">
        <v>83</v>
      </c>
      <c r="H16" s="5" t="s">
        <v>41</v>
      </c>
      <c r="I16" s="6" t="s">
        <v>50</v>
      </c>
    </row>
    <row r="17" spans="1:9" ht="27.75" x14ac:dyDescent="0.2">
      <c r="A17" s="3" t="s">
        <v>84</v>
      </c>
      <c r="B17" s="4" t="s">
        <v>85</v>
      </c>
      <c r="C17" s="4" t="s">
        <v>86</v>
      </c>
      <c r="D17" s="4" t="s">
        <v>87</v>
      </c>
      <c r="E17" s="4" t="s">
        <v>88</v>
      </c>
      <c r="F17" s="4" t="s">
        <v>89</v>
      </c>
      <c r="G17" s="3" t="s">
        <v>90</v>
      </c>
      <c r="H17" s="3" t="s">
        <v>41</v>
      </c>
      <c r="I17" s="4" t="s">
        <v>50</v>
      </c>
    </row>
    <row r="18" spans="1:9" ht="27.75" x14ac:dyDescent="0.2">
      <c r="A18" s="5" t="s">
        <v>91</v>
      </c>
      <c r="B18" s="6" t="s">
        <v>92</v>
      </c>
      <c r="C18" s="6" t="s">
        <v>93</v>
      </c>
      <c r="D18" s="6" t="s">
        <v>94</v>
      </c>
      <c r="E18" s="6" t="s">
        <v>95</v>
      </c>
      <c r="F18" s="6" t="s">
        <v>96</v>
      </c>
      <c r="G18" s="5" t="s">
        <v>97</v>
      </c>
      <c r="H18" s="5" t="s">
        <v>41</v>
      </c>
      <c r="I18" s="6" t="s">
        <v>50</v>
      </c>
    </row>
    <row r="19" spans="1:9" ht="27.75" x14ac:dyDescent="0.2">
      <c r="A19" s="3" t="s">
        <v>98</v>
      </c>
      <c r="B19" s="4" t="s">
        <v>99</v>
      </c>
      <c r="C19" s="4" t="s">
        <v>100</v>
      </c>
      <c r="D19" s="4" t="s">
        <v>101</v>
      </c>
      <c r="E19" s="4" t="s">
        <v>102</v>
      </c>
      <c r="F19" s="4" t="s">
        <v>103</v>
      </c>
      <c r="G19" s="3" t="s">
        <v>104</v>
      </c>
      <c r="H19" s="3" t="s">
        <v>41</v>
      </c>
      <c r="I19" s="4" t="s">
        <v>50</v>
      </c>
    </row>
    <row r="20" spans="1:9" ht="27.75" x14ac:dyDescent="0.2">
      <c r="A20" s="5" t="s">
        <v>105</v>
      </c>
      <c r="B20" s="6" t="s">
        <v>99</v>
      </c>
      <c r="C20" s="6" t="s">
        <v>106</v>
      </c>
      <c r="D20" s="6" t="s">
        <v>101</v>
      </c>
      <c r="E20" s="6" t="s">
        <v>107</v>
      </c>
      <c r="F20" s="6" t="s">
        <v>108</v>
      </c>
      <c r="G20" s="5" t="s">
        <v>109</v>
      </c>
      <c r="H20" s="5" t="s">
        <v>41</v>
      </c>
      <c r="I20" s="6" t="s">
        <v>50</v>
      </c>
    </row>
    <row r="21" spans="1:9" ht="27.75" x14ac:dyDescent="0.2">
      <c r="A21" s="3" t="s">
        <v>110</v>
      </c>
      <c r="B21" s="4" t="s">
        <v>12</v>
      </c>
      <c r="C21" s="4" t="s">
        <v>111</v>
      </c>
      <c r="D21" s="4" t="s">
        <v>14</v>
      </c>
      <c r="E21" s="4" t="s">
        <v>112</v>
      </c>
      <c r="F21" s="4" t="s">
        <v>113</v>
      </c>
      <c r="G21" s="3" t="s">
        <v>114</v>
      </c>
      <c r="H21" s="3" t="s">
        <v>41</v>
      </c>
      <c r="I21" s="4" t="s">
        <v>50</v>
      </c>
    </row>
  </sheetData>
  <mergeCells count="1">
    <mergeCell ref="A2:I2"/>
  </mergeCells>
  <conditionalFormatting sqref="H7:H21">
    <cfRule type="cellIs" dxfId="3" priority="1" operator="equal">
      <formula>"Closed"</formula>
    </cfRule>
    <cfRule type="cellIs" dxfId="2" priority="2" operator="equal">
      <formula>"Fieldwork Complete"</formula>
    </cfRule>
    <cfRule type="cellIs" dxfId="1" priority="3" operator="equal">
      <formula>"In Progress"</formula>
    </cfRule>
    <cfRule type="cellIs" dxfId="0" priority="4" operator="equal">
      <formula>"Not Started"</formula>
    </cfRule>
  </conditionalFormatting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000-000000000000}">
          <x14:formula1>
            <xm:f>'Reference Data'!$A$2:$A$6</xm:f>
          </x14:formula1>
          <xm:sqref>H7:H21</xm:sqref>
        </x14:dataValidation>
        <x14:dataValidation type="list" allowBlank="1" xr:uid="{00000000-0002-0000-0000-000001000000}">
          <x14:formula1>
            <xm:f>'Reference Data'!$B$2:$B$11</xm:f>
          </x14:formula1>
          <xm:sqref>B7:B21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12"/>
  <sheetViews>
    <sheetView workbookViewId="0"/>
  </sheetViews>
  <sheetFormatPr defaultRowHeight="15" x14ac:dyDescent="0.2"/>
  <cols>
    <col min="1" max="1" width="11.97265625" customWidth="1"/>
    <col min="2" max="2" width="30.9375" customWidth="1"/>
    <col min="3" max="3" width="41.02734375" customWidth="1"/>
    <col min="4" max="4" width="14.9296875" customWidth="1"/>
    <col min="5" max="5" width="11.97265625" customWidth="1"/>
  </cols>
  <sheetData>
    <row r="2" spans="2:5" ht="21" x14ac:dyDescent="0.3">
      <c r="B2" s="14" t="s">
        <v>115</v>
      </c>
      <c r="C2" s="15"/>
      <c r="D2" s="15"/>
      <c r="E2" s="15"/>
    </row>
    <row r="4" spans="2:5" x14ac:dyDescent="0.2">
      <c r="B4" s="1" t="s">
        <v>116</v>
      </c>
    </row>
    <row r="6" spans="2:5" x14ac:dyDescent="0.2">
      <c r="B6" s="2" t="s">
        <v>9</v>
      </c>
      <c r="C6" s="2" t="s">
        <v>117</v>
      </c>
      <c r="D6" s="2" t="s">
        <v>118</v>
      </c>
    </row>
    <row r="7" spans="2:5" x14ac:dyDescent="0.2">
      <c r="B7" s="7" t="s">
        <v>41</v>
      </c>
      <c r="C7" s="8">
        <f>COUNTIF('Audit Plan'!$I$7:$I$22, B7)</f>
        <v>0</v>
      </c>
      <c r="D7" s="9" t="e">
        <f>C7/$C$12</f>
        <v>#DIV/0!</v>
      </c>
    </row>
    <row r="8" spans="2:5" x14ac:dyDescent="0.2">
      <c r="B8" s="7" t="s">
        <v>34</v>
      </c>
      <c r="C8" s="8">
        <f>COUNTIF('Audit Plan'!$I$7:$I$22, B8)</f>
        <v>0</v>
      </c>
      <c r="D8" s="9" t="e">
        <f>C8/$C$12</f>
        <v>#DIV/0!</v>
      </c>
    </row>
    <row r="9" spans="2:5" x14ac:dyDescent="0.2">
      <c r="B9" s="7" t="s">
        <v>25</v>
      </c>
      <c r="C9" s="8">
        <f>COUNTIF('Audit Plan'!$I$7:$I$22, B9)</f>
        <v>0</v>
      </c>
      <c r="D9" s="9" t="e">
        <f>C9/$C$12</f>
        <v>#DIV/0!</v>
      </c>
    </row>
    <row r="10" spans="2:5" x14ac:dyDescent="0.2">
      <c r="B10" s="7" t="s">
        <v>119</v>
      </c>
      <c r="C10" s="8">
        <f>COUNTIF('Audit Plan'!$I$7:$I$22, B10)</f>
        <v>0</v>
      </c>
      <c r="D10" s="9" t="e">
        <f>C10/$C$12</f>
        <v>#DIV/0!</v>
      </c>
    </row>
    <row r="11" spans="2:5" x14ac:dyDescent="0.2">
      <c r="B11" s="7" t="s">
        <v>18</v>
      </c>
      <c r="C11" s="8">
        <f>COUNTIF('Audit Plan'!$I$7:$I$22, B11)</f>
        <v>0</v>
      </c>
      <c r="D11" s="9" t="e">
        <f>C11/$C$12</f>
        <v>#DIV/0!</v>
      </c>
    </row>
    <row r="12" spans="2:5" x14ac:dyDescent="0.2">
      <c r="B12" s="10" t="s">
        <v>120</v>
      </c>
      <c r="C12" s="11">
        <f>SUM(C7:C11)</f>
        <v>0</v>
      </c>
      <c r="D12" s="12" t="e">
        <f>SUM(D7:D11)</f>
        <v>#DIV/0!</v>
      </c>
    </row>
  </sheetData>
  <mergeCells count="1">
    <mergeCell ref="B2:E2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/>
  </sheetViews>
  <sheetFormatPr defaultRowHeight="15" x14ac:dyDescent="0.2"/>
  <cols>
    <col min="1" max="1" width="20.984375" customWidth="1"/>
    <col min="2" max="2" width="25.01953125" customWidth="1"/>
  </cols>
  <sheetData>
    <row r="1" spans="1:2" x14ac:dyDescent="0.2">
      <c r="A1" s="13" t="s">
        <v>121</v>
      </c>
      <c r="B1" s="13" t="s">
        <v>122</v>
      </c>
    </row>
    <row r="2" spans="1:2" x14ac:dyDescent="0.2">
      <c r="A2" t="s">
        <v>41</v>
      </c>
      <c r="B2" t="s">
        <v>12</v>
      </c>
    </row>
    <row r="3" spans="1:2" x14ac:dyDescent="0.2">
      <c r="A3" t="s">
        <v>34</v>
      </c>
      <c r="B3" t="s">
        <v>28</v>
      </c>
    </row>
    <row r="4" spans="1:2" x14ac:dyDescent="0.2">
      <c r="A4" t="s">
        <v>25</v>
      </c>
      <c r="B4" t="s">
        <v>44</v>
      </c>
    </row>
    <row r="5" spans="1:2" x14ac:dyDescent="0.2">
      <c r="A5" t="s">
        <v>119</v>
      </c>
      <c r="B5" t="s">
        <v>57</v>
      </c>
    </row>
    <row r="6" spans="1:2" x14ac:dyDescent="0.2">
      <c r="A6" t="s">
        <v>18</v>
      </c>
      <c r="B6" t="s">
        <v>64</v>
      </c>
    </row>
    <row r="7" spans="1:2" x14ac:dyDescent="0.2">
      <c r="B7" t="s">
        <v>71</v>
      </c>
    </row>
    <row r="8" spans="1:2" x14ac:dyDescent="0.2">
      <c r="B8" t="s">
        <v>78</v>
      </c>
    </row>
    <row r="9" spans="1:2" x14ac:dyDescent="0.2">
      <c r="B9" t="s">
        <v>85</v>
      </c>
    </row>
    <row r="10" spans="1:2" x14ac:dyDescent="0.2">
      <c r="B10" t="s">
        <v>92</v>
      </c>
    </row>
    <row r="11" spans="1:2" x14ac:dyDescent="0.2">
      <c r="B11" t="s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Audit Plan</vt:lpstr>
      <vt:lpstr>Dashboard</vt:lpstr>
      <vt:lpstr>Reference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2026-08-26T10:32:50Z</dcterms:created>
  <dcterms:modified xsi:type="dcterms:W3CDTF">2026-08-26T10:32:50Z</dcterms:modified>
</cp:coreProperties>
</file>