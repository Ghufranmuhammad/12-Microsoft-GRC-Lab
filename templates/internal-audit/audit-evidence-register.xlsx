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24042093-3FCD-4C4C-82A2-E771DD8E30C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vidence Register" sheetId="1" r:id="rId1"/>
    <sheet name="Dashboard" sheetId="2" r:id="rId2"/>
    <sheet name="Reference Data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C8" i="2"/>
  <c r="C9" i="2"/>
  <c r="C10" i="2"/>
  <c r="C11" i="2"/>
  <c r="D7" i="2"/>
  <c r="D8" i="2"/>
  <c r="D9" i="2"/>
  <c r="D10" i="2"/>
  <c r="D11" i="2"/>
</calcChain>
</file>

<file path=xl/sharedStrings.xml><?xml version="1.0" encoding="utf-8"?>
<sst xmlns="http://schemas.openxmlformats.org/spreadsheetml/2006/main" count="238" uniqueCount="161">
  <si>
    <t>INTERNAL AUDIT EVIDENCE REGISTER &amp; REPOSITORY</t>
  </si>
  <si>
    <t>Central tracking register for audit evidence documentation, sources, related controls, and auditor assessments.</t>
  </si>
  <si>
    <t>Evidence ID</t>
  </si>
  <si>
    <t>Audit Area</t>
  </si>
  <si>
    <t>Evidence Description</t>
  </si>
  <si>
    <t>Owner</t>
  </si>
  <si>
    <t>Date</t>
  </si>
  <si>
    <t>Source</t>
  </si>
  <si>
    <t>Status</t>
  </si>
  <si>
    <t>Related Control</t>
  </si>
  <si>
    <t>Auditor Assessment</t>
  </si>
  <si>
    <t>EVD-001</t>
  </si>
  <si>
    <t>Risk Management</t>
  </si>
  <si>
    <t>Risk register</t>
  </si>
  <si>
    <t>M. Vance</t>
  </si>
  <si>
    <t>2026-03-10</t>
  </si>
  <si>
    <t>Enterprise GRC Portal</t>
  </si>
  <si>
    <t>Received &amp; Verified</t>
  </si>
  <si>
    <t>ISO 27001 Cl. 6.1</t>
  </si>
  <si>
    <t>Satisfactory</t>
  </si>
  <si>
    <t>EVD-002</t>
  </si>
  <si>
    <t>Access Control</t>
  </si>
  <si>
    <t>Access review</t>
  </si>
  <si>
    <t>J. Smith</t>
  </si>
  <si>
    <t>2026-03-14</t>
  </si>
  <si>
    <t>Identity Management System</t>
  </si>
  <si>
    <t>SOC2 CC6.1</t>
  </si>
  <si>
    <t>EVD-003</t>
  </si>
  <si>
    <t>MFA configuration</t>
  </si>
  <si>
    <t>2026-03-15</t>
  </si>
  <si>
    <t>Okta Security Policy Export</t>
  </si>
  <si>
    <t>ISO 27001 A.9.4.2</t>
  </si>
  <si>
    <t>EVD-004</t>
  </si>
  <si>
    <t>Governance</t>
  </si>
  <si>
    <t>Security policy</t>
  </si>
  <si>
    <t>H. Green</t>
  </si>
  <si>
    <t>2026-03-18</t>
  </si>
  <si>
    <t>Intranet Policy Document Repository</t>
  </si>
  <si>
    <t>ISO 27001 Cl. 5.2</t>
  </si>
  <si>
    <t>EVD-005</t>
  </si>
  <si>
    <t>Incident Management</t>
  </si>
  <si>
    <t>Incident report</t>
  </si>
  <si>
    <t>R. Taylor</t>
  </si>
  <si>
    <t>2026-03-22</t>
  </si>
  <si>
    <t>SIEM &amp; Ticketing System Logs</t>
  </si>
  <si>
    <t>SOC2 CC7.3</t>
  </si>
  <si>
    <t>Minor Deficiencies</t>
  </si>
  <si>
    <t>EVD-006</t>
  </si>
  <si>
    <t>Business Continuity</t>
  </si>
  <si>
    <t>BCP</t>
  </si>
  <si>
    <t>K. Patel</t>
  </si>
  <si>
    <t>2026-03-25</t>
  </si>
  <si>
    <t>Continuity Planning Workspace</t>
  </si>
  <si>
    <t>ISO 27001 Cl. 17.1</t>
  </si>
  <si>
    <t>EVD-007</t>
  </si>
  <si>
    <t>DR test</t>
  </si>
  <si>
    <t>2026-03-28</t>
  </si>
  <si>
    <t>Annual Disaster Recovery After-Action Report</t>
  </si>
  <si>
    <t>ISO 27001 Cl. 17.1.3</t>
  </si>
  <si>
    <t>EVD-008</t>
  </si>
  <si>
    <t>Vendor Risk</t>
  </si>
  <si>
    <t>Vendor assessment</t>
  </si>
  <si>
    <t>S. Lee</t>
  </si>
  <si>
    <t>2026-04-02</t>
  </si>
  <si>
    <t>Third-Party Risk Management Portal</t>
  </si>
  <si>
    <t>ISO 27001 A.15.1</t>
  </si>
  <si>
    <t>EVD-009</t>
  </si>
  <si>
    <t>Security awareness records</t>
  </si>
  <si>
    <t>2026-04-05</t>
  </si>
  <si>
    <t>LMS Completion Tracking System</t>
  </si>
  <si>
    <t>ISO 27001 Cl. 7.3</t>
  </si>
  <si>
    <t>EVD-010</t>
  </si>
  <si>
    <t>Data Protection</t>
  </si>
  <si>
    <t>DLP configuration</t>
  </si>
  <si>
    <t>A. Johnson</t>
  </si>
  <si>
    <t>2026-04-10</t>
  </si>
  <si>
    <t>Endpoint Security Console</t>
  </si>
  <si>
    <t>GDPR Art. 32</t>
  </si>
  <si>
    <t>EVD-011</t>
  </si>
  <si>
    <t>Network Security</t>
  </si>
  <si>
    <t>Vulnerability report</t>
  </si>
  <si>
    <t>N. Vance</t>
  </si>
  <si>
    <t>2026-04-15</t>
  </si>
  <si>
    <t>Tenable Vulnerability Scanner</t>
  </si>
  <si>
    <t>ISO 27001 A.12.6</t>
  </si>
  <si>
    <t>Major Deficiencies</t>
  </si>
  <si>
    <t>EVD-012</t>
  </si>
  <si>
    <t>Backup test</t>
  </si>
  <si>
    <t>2026-04-18</t>
  </si>
  <si>
    <t>Cloud Backup Execution &amp; Restoration Logs</t>
  </si>
  <si>
    <t>ISO 27001 A.12.3</t>
  </si>
  <si>
    <t>EVD-013</t>
  </si>
  <si>
    <t>Management approval</t>
  </si>
  <si>
    <t>M. Davis</t>
  </si>
  <si>
    <t>2026-04-20</t>
  </si>
  <si>
    <t>Executive Steering Committee Minutes</t>
  </si>
  <si>
    <t>ISO 27001 Cl. 5.1</t>
  </si>
  <si>
    <t>EVD-014</t>
  </si>
  <si>
    <t>Privileged access logs</t>
  </si>
  <si>
    <t>2026-04-22</t>
  </si>
  <si>
    <t>CyberArk PAM Audit Trail</t>
  </si>
  <si>
    <t>Pending Review</t>
  </si>
  <si>
    <t>SOC2 CC6.2</t>
  </si>
  <si>
    <t>Not Tested</t>
  </si>
  <si>
    <t>EVD-015</t>
  </si>
  <si>
    <t>Change Management</t>
  </si>
  <si>
    <t>Change tickets &amp; QA sign-offs</t>
  </si>
  <si>
    <t>2026-04-25</t>
  </si>
  <si>
    <t>Jira Change Management Board</t>
  </si>
  <si>
    <t>SOC2 CC8.1</t>
  </si>
  <si>
    <t>EVD-016</t>
  </si>
  <si>
    <t>Encryption key management logs</t>
  </si>
  <si>
    <t>2026-05-02</t>
  </si>
  <si>
    <t>AWS KMS CloudTrail Export</t>
  </si>
  <si>
    <t>ISO 27001 A.10.1</t>
  </si>
  <si>
    <t>EVD-017</t>
  </si>
  <si>
    <t>Physical Security</t>
  </si>
  <si>
    <t>Visitor logs &amp; CCTV retention policy</t>
  </si>
  <si>
    <t>P. Gomez</t>
  </si>
  <si>
    <t>2026-05-06</t>
  </si>
  <si>
    <t>Building Management System</t>
  </si>
  <si>
    <t>ISO 27001 A.11.1</t>
  </si>
  <si>
    <t>EVD-018</t>
  </si>
  <si>
    <t>Asset Management</t>
  </si>
  <si>
    <t>Hardware &amp; software inventory</t>
  </si>
  <si>
    <t>E. Wright</t>
  </si>
  <si>
    <t>2026-05-10</t>
  </si>
  <si>
    <t>MDM and SAM Database Export</t>
  </si>
  <si>
    <t>ISO 27001 A.8.1</t>
  </si>
  <si>
    <t>EVD-019</t>
  </si>
  <si>
    <t>SOC2 Type II reports for critical SaaS</t>
  </si>
  <si>
    <t>2026-05-15</t>
  </si>
  <si>
    <t>Vendor Compliance Repository</t>
  </si>
  <si>
    <t>ISO 27001 A.15.2</t>
  </si>
  <si>
    <t>EVD-020</t>
  </si>
  <si>
    <t>Firewall rule review sign-offs</t>
  </si>
  <si>
    <t>2026-05-20</t>
  </si>
  <si>
    <t>Network Firewall Configuration Export</t>
  </si>
  <si>
    <t>ISO 27001 A.13.1</t>
  </si>
  <si>
    <t>EVD-021</t>
  </si>
  <si>
    <t>Data deletion logs</t>
  </si>
  <si>
    <t>2026-05-25</t>
  </si>
  <si>
    <t>Automated Script Execution Logs</t>
  </si>
  <si>
    <t>Incomplete</t>
  </si>
  <si>
    <t>GDPR Art. 17</t>
  </si>
  <si>
    <t>EVD-022</t>
  </si>
  <si>
    <t>HR Security</t>
  </si>
  <si>
    <t>Background screening records</t>
  </si>
  <si>
    <t>2026-05-28</t>
  </si>
  <si>
    <t>HR Screening Provider Portal</t>
  </si>
  <si>
    <t>ISO 27001 A.7.1</t>
  </si>
  <si>
    <t>AUDIT EVIDENCE REGISTER DASHBOARD</t>
  </si>
  <si>
    <t>Evidence Status Summary &amp; Metrics</t>
  </si>
  <si>
    <t>Evidence Status</t>
  </si>
  <si>
    <t>Count</t>
  </si>
  <si>
    <t>% of Total</t>
  </si>
  <si>
    <t>Rejected</t>
  </si>
  <si>
    <t>Total Evidence Items</t>
  </si>
  <si>
    <t>Status Options</t>
  </si>
  <si>
    <t>Assessment Options</t>
  </si>
  <si>
    <t>Audit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</si>
</sst>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rgb="FF1B4F72"/>
      <name val="Calibri"/>
    </font>
    <font>
      <b/>
      <sz val="16"/>
      <color rgb="FF1B4F72"/>
      <name val="Calibri"/>
    </font>
    <font>
      <i/>
      <sz val="11"/>
      <color rgb="FF566573"/>
      <name val="Calibri"/>
    </font>
    <font>
      <b/>
      <sz val="11"/>
      <color rgb="FFFFFFFF"/>
      <name val="Calibri"/>
    </font>
    <font>
      <sz val="11"/>
      <color rgb="FF33333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4F72"/>
        <bgColor rgb="FF1B4F72"/>
      </patternFill>
    </fill>
    <fill>
      <patternFill patternType="solid">
        <fgColor rgb="FFFFFFFF"/>
        <bgColor rgb="FFFFFFFF"/>
      </patternFill>
    </fill>
    <fill>
      <patternFill patternType="solid">
        <fgColor rgb="FFF4F6F7"/>
        <bgColor rgb="FFF4F6F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543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3" fontId="5" fillId="0" borderId="2" xfId="0" applyNumberFormat="1" applyFont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1" fillId="0" borderId="0" xfId="0" applyFo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8">
    <dxf>
      <font>
        <b/>
        <color rgb="FF5D6D7E"/>
      </font>
      <fill>
        <patternFill patternType="solid">
          <fgColor rgb="FFE5E7E9"/>
          <bgColor rgb="FFE5E7E9"/>
        </patternFill>
      </fill>
    </dxf>
    <dxf>
      <font>
        <b/>
        <color rgb="FF78281F"/>
      </font>
      <fill>
        <patternFill patternType="solid">
          <fgColor rgb="FFFADBD8"/>
          <bgColor rgb="FFFADBD8"/>
        </patternFill>
      </fill>
    </dxf>
    <dxf>
      <font>
        <b/>
        <color rgb="FF7D6608"/>
      </font>
      <fill>
        <patternFill patternType="solid">
          <fgColor rgb="FFFCF3CF"/>
          <bgColor rgb="FFFCF3CF"/>
        </patternFill>
      </fill>
    </dxf>
    <dxf>
      <font>
        <b/>
        <color rgb="FF145A32"/>
      </font>
      <fill>
        <patternFill patternType="solid">
          <fgColor rgb="FFD4EFDF"/>
          <bgColor rgb="FFD4EFDF"/>
        </patternFill>
      </fill>
    </dxf>
    <dxf>
      <font>
        <b/>
        <color rgb="FF78281F"/>
      </font>
      <fill>
        <patternFill patternType="solid">
          <fgColor rgb="FFFADBD8"/>
          <bgColor rgb="FFFADBD8"/>
        </patternFill>
      </fill>
    </dxf>
    <dxf>
      <font>
        <b/>
        <color rgb="FF78281F"/>
      </font>
      <fill>
        <patternFill patternType="solid">
          <fgColor rgb="FFFADBD8"/>
          <bgColor rgb="FFFADBD8"/>
        </patternFill>
      </fill>
    </dxf>
    <dxf>
      <font>
        <b/>
        <color rgb="FF7D6608"/>
      </font>
      <fill>
        <patternFill patternType="solid">
          <fgColor rgb="FFFCF3CF"/>
          <bgColor rgb="FFFCF3CF"/>
        </patternFill>
      </fill>
    </dxf>
    <dxf>
      <font>
        <b/>
        <color rgb="FF145A32"/>
      </font>
      <fill>
        <patternFill patternType="solid">
          <fgColor rgb="FFD4EFDF"/>
          <bgColor rgb="FFD4EFD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t>Evidence Collection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Dashboard!C6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Dashboard!$B$7:$B$10</c:f>
              <c:strCache>
                <c:ptCount val="4"/>
                <c:pt idx="0">
                  <c:v>Received &amp; Verified</c:v>
                </c:pt>
                <c:pt idx="1">
                  <c:v>Pending Review</c:v>
                </c:pt>
                <c:pt idx="2">
                  <c:v>Incomplete</c:v>
                </c:pt>
                <c:pt idx="3">
                  <c:v>Rejected</c:v>
                </c:pt>
              </c:strCache>
            </c:strRef>
          </c:cat>
          <c:val>
            <c:numRef>
              <c:f>Dashboard!$C$7:$C$10</c:f>
              <c:numCache>
                <c:formatCode>#,##0</c:formatCode>
                <c:ptCount val="4"/>
                <c:pt idx="0">
                  <c:v>18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2-B941-B58B-B32C1F5FD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Count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5</xdr:row>
      <xdr:rowOff>0</xdr:rowOff>
    </xdr:from>
    <xdr:ext cx="504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8"/>
  <sheetViews>
    <sheetView tabSelected="1" workbookViewId="0"/>
  </sheetViews>
  <sheetFormatPr defaultRowHeight="15" x14ac:dyDescent="0.2"/>
  <cols>
    <col min="1" max="1" width="13.98828125" customWidth="1"/>
    <col min="2" max="2" width="23.9453125" customWidth="1"/>
    <col min="3" max="3" width="34.97265625" customWidth="1"/>
    <col min="4" max="4" width="16.0078125" customWidth="1"/>
    <col min="5" max="5" width="14.9296875" customWidth="1"/>
    <col min="6" max="6" width="34.97265625" customWidth="1"/>
    <col min="7" max="7" width="23.9453125" customWidth="1"/>
    <col min="8" max="8" width="22.05859375" customWidth="1"/>
    <col min="9" max="9" width="23.9453125" customWidth="1"/>
  </cols>
  <sheetData>
    <row r="2" spans="1:9" ht="21" x14ac:dyDescent="0.3">
      <c r="A2" s="14" t="s">
        <v>0</v>
      </c>
      <c r="B2" s="15"/>
      <c r="C2" s="15"/>
      <c r="D2" s="15"/>
      <c r="E2" s="15"/>
      <c r="F2" s="15"/>
      <c r="G2" s="15"/>
      <c r="H2" s="15"/>
      <c r="I2" s="15"/>
    </row>
    <row r="3" spans="1:9" x14ac:dyDescent="0.2">
      <c r="A3" s="1" t="s">
        <v>1</v>
      </c>
    </row>
    <row r="6" spans="1:9" x14ac:dyDescent="0.2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</row>
    <row r="7" spans="1:9" x14ac:dyDescent="0.2">
      <c r="A7" s="3" t="s">
        <v>11</v>
      </c>
      <c r="B7" s="4" t="s">
        <v>12</v>
      </c>
      <c r="C7" s="4" t="s">
        <v>13</v>
      </c>
      <c r="D7" s="4" t="s">
        <v>14</v>
      </c>
      <c r="E7" s="3" t="s">
        <v>15</v>
      </c>
      <c r="F7" s="4" t="s">
        <v>16</v>
      </c>
      <c r="G7" s="3" t="s">
        <v>17</v>
      </c>
      <c r="H7" s="3" t="s">
        <v>18</v>
      </c>
      <c r="I7" s="4" t="s">
        <v>19</v>
      </c>
    </row>
    <row r="8" spans="1:9" x14ac:dyDescent="0.2">
      <c r="A8" s="5" t="s">
        <v>20</v>
      </c>
      <c r="B8" s="6" t="s">
        <v>21</v>
      </c>
      <c r="C8" s="6" t="s">
        <v>22</v>
      </c>
      <c r="D8" s="6" t="s">
        <v>23</v>
      </c>
      <c r="E8" s="5" t="s">
        <v>24</v>
      </c>
      <c r="F8" s="6" t="s">
        <v>25</v>
      </c>
      <c r="G8" s="5" t="s">
        <v>17</v>
      </c>
      <c r="H8" s="5" t="s">
        <v>26</v>
      </c>
      <c r="I8" s="6" t="s">
        <v>19</v>
      </c>
    </row>
    <row r="9" spans="1:9" x14ac:dyDescent="0.2">
      <c r="A9" s="3" t="s">
        <v>27</v>
      </c>
      <c r="B9" s="4" t="s">
        <v>21</v>
      </c>
      <c r="C9" s="4" t="s">
        <v>28</v>
      </c>
      <c r="D9" s="4" t="s">
        <v>23</v>
      </c>
      <c r="E9" s="3" t="s">
        <v>29</v>
      </c>
      <c r="F9" s="4" t="s">
        <v>30</v>
      </c>
      <c r="G9" s="3" t="s">
        <v>17</v>
      </c>
      <c r="H9" s="3" t="s">
        <v>31</v>
      </c>
      <c r="I9" s="4" t="s">
        <v>19</v>
      </c>
    </row>
    <row r="10" spans="1:9" x14ac:dyDescent="0.2">
      <c r="A10" s="5" t="s">
        <v>32</v>
      </c>
      <c r="B10" s="6" t="s">
        <v>33</v>
      </c>
      <c r="C10" s="6" t="s">
        <v>34</v>
      </c>
      <c r="D10" s="6" t="s">
        <v>35</v>
      </c>
      <c r="E10" s="5" t="s">
        <v>36</v>
      </c>
      <c r="F10" s="6" t="s">
        <v>37</v>
      </c>
      <c r="G10" s="5" t="s">
        <v>17</v>
      </c>
      <c r="H10" s="5" t="s">
        <v>38</v>
      </c>
      <c r="I10" s="6" t="s">
        <v>19</v>
      </c>
    </row>
    <row r="11" spans="1:9" x14ac:dyDescent="0.2">
      <c r="A11" s="3" t="s">
        <v>39</v>
      </c>
      <c r="B11" s="4" t="s">
        <v>40</v>
      </c>
      <c r="C11" s="4" t="s">
        <v>41</v>
      </c>
      <c r="D11" s="4" t="s">
        <v>42</v>
      </c>
      <c r="E11" s="3" t="s">
        <v>43</v>
      </c>
      <c r="F11" s="4" t="s">
        <v>44</v>
      </c>
      <c r="G11" s="3" t="s">
        <v>17</v>
      </c>
      <c r="H11" s="3" t="s">
        <v>45</v>
      </c>
      <c r="I11" s="4" t="s">
        <v>46</v>
      </c>
    </row>
    <row r="12" spans="1:9" x14ac:dyDescent="0.2">
      <c r="A12" s="5" t="s">
        <v>47</v>
      </c>
      <c r="B12" s="6" t="s">
        <v>48</v>
      </c>
      <c r="C12" s="6" t="s">
        <v>49</v>
      </c>
      <c r="D12" s="6" t="s">
        <v>50</v>
      </c>
      <c r="E12" s="5" t="s">
        <v>51</v>
      </c>
      <c r="F12" s="6" t="s">
        <v>52</v>
      </c>
      <c r="G12" s="5" t="s">
        <v>17</v>
      </c>
      <c r="H12" s="5" t="s">
        <v>53</v>
      </c>
      <c r="I12" s="6" t="s">
        <v>19</v>
      </c>
    </row>
    <row r="13" spans="1:9" ht="27.75" x14ac:dyDescent="0.2">
      <c r="A13" s="3" t="s">
        <v>54</v>
      </c>
      <c r="B13" s="4" t="s">
        <v>48</v>
      </c>
      <c r="C13" s="4" t="s">
        <v>55</v>
      </c>
      <c r="D13" s="4" t="s">
        <v>50</v>
      </c>
      <c r="E13" s="3" t="s">
        <v>56</v>
      </c>
      <c r="F13" s="4" t="s">
        <v>57</v>
      </c>
      <c r="G13" s="3" t="s">
        <v>17</v>
      </c>
      <c r="H13" s="3" t="s">
        <v>58</v>
      </c>
      <c r="I13" s="4" t="s">
        <v>19</v>
      </c>
    </row>
    <row r="14" spans="1:9" x14ac:dyDescent="0.2">
      <c r="A14" s="5" t="s">
        <v>59</v>
      </c>
      <c r="B14" s="6" t="s">
        <v>60</v>
      </c>
      <c r="C14" s="6" t="s">
        <v>61</v>
      </c>
      <c r="D14" s="6" t="s">
        <v>62</v>
      </c>
      <c r="E14" s="5" t="s">
        <v>63</v>
      </c>
      <c r="F14" s="6" t="s">
        <v>64</v>
      </c>
      <c r="G14" s="5" t="s">
        <v>17</v>
      </c>
      <c r="H14" s="5" t="s">
        <v>65</v>
      </c>
      <c r="I14" s="6" t="s">
        <v>46</v>
      </c>
    </row>
    <row r="15" spans="1:9" x14ac:dyDescent="0.2">
      <c r="A15" s="3" t="s">
        <v>66</v>
      </c>
      <c r="B15" s="4" t="s">
        <v>33</v>
      </c>
      <c r="C15" s="4" t="s">
        <v>67</v>
      </c>
      <c r="D15" s="4" t="s">
        <v>35</v>
      </c>
      <c r="E15" s="3" t="s">
        <v>68</v>
      </c>
      <c r="F15" s="4" t="s">
        <v>69</v>
      </c>
      <c r="G15" s="3" t="s">
        <v>17</v>
      </c>
      <c r="H15" s="3" t="s">
        <v>70</v>
      </c>
      <c r="I15" s="4" t="s">
        <v>19</v>
      </c>
    </row>
    <row r="16" spans="1:9" x14ac:dyDescent="0.2">
      <c r="A16" s="5" t="s">
        <v>71</v>
      </c>
      <c r="B16" s="6" t="s">
        <v>72</v>
      </c>
      <c r="C16" s="6" t="s">
        <v>73</v>
      </c>
      <c r="D16" s="6" t="s">
        <v>74</v>
      </c>
      <c r="E16" s="5" t="s">
        <v>75</v>
      </c>
      <c r="F16" s="6" t="s">
        <v>76</v>
      </c>
      <c r="G16" s="5" t="s">
        <v>17</v>
      </c>
      <c r="H16" s="5" t="s">
        <v>77</v>
      </c>
      <c r="I16" s="6" t="s">
        <v>19</v>
      </c>
    </row>
    <row r="17" spans="1:9" x14ac:dyDescent="0.2">
      <c r="A17" s="3" t="s">
        <v>78</v>
      </c>
      <c r="B17" s="4" t="s">
        <v>79</v>
      </c>
      <c r="C17" s="4" t="s">
        <v>80</v>
      </c>
      <c r="D17" s="4" t="s">
        <v>81</v>
      </c>
      <c r="E17" s="3" t="s">
        <v>82</v>
      </c>
      <c r="F17" s="4" t="s">
        <v>83</v>
      </c>
      <c r="G17" s="3" t="s">
        <v>17</v>
      </c>
      <c r="H17" s="3" t="s">
        <v>84</v>
      </c>
      <c r="I17" s="4" t="s">
        <v>85</v>
      </c>
    </row>
    <row r="18" spans="1:9" ht="27.75" x14ac:dyDescent="0.2">
      <c r="A18" s="5" t="s">
        <v>86</v>
      </c>
      <c r="B18" s="6" t="s">
        <v>48</v>
      </c>
      <c r="C18" s="6" t="s">
        <v>87</v>
      </c>
      <c r="D18" s="6" t="s">
        <v>50</v>
      </c>
      <c r="E18" s="5" t="s">
        <v>88</v>
      </c>
      <c r="F18" s="6" t="s">
        <v>89</v>
      </c>
      <c r="G18" s="5" t="s">
        <v>17</v>
      </c>
      <c r="H18" s="5" t="s">
        <v>90</v>
      </c>
      <c r="I18" s="6" t="s">
        <v>19</v>
      </c>
    </row>
    <row r="19" spans="1:9" x14ac:dyDescent="0.2">
      <c r="A19" s="3" t="s">
        <v>91</v>
      </c>
      <c r="B19" s="4" t="s">
        <v>33</v>
      </c>
      <c r="C19" s="4" t="s">
        <v>92</v>
      </c>
      <c r="D19" s="4" t="s">
        <v>93</v>
      </c>
      <c r="E19" s="3" t="s">
        <v>94</v>
      </c>
      <c r="F19" s="4" t="s">
        <v>95</v>
      </c>
      <c r="G19" s="3" t="s">
        <v>17</v>
      </c>
      <c r="H19" s="3" t="s">
        <v>96</v>
      </c>
      <c r="I19" s="4" t="s">
        <v>19</v>
      </c>
    </row>
    <row r="20" spans="1:9" x14ac:dyDescent="0.2">
      <c r="A20" s="5" t="s">
        <v>97</v>
      </c>
      <c r="B20" s="6" t="s">
        <v>21</v>
      </c>
      <c r="C20" s="6" t="s">
        <v>98</v>
      </c>
      <c r="D20" s="6" t="s">
        <v>23</v>
      </c>
      <c r="E20" s="5" t="s">
        <v>99</v>
      </c>
      <c r="F20" s="6" t="s">
        <v>100</v>
      </c>
      <c r="G20" s="5" t="s">
        <v>101</v>
      </c>
      <c r="H20" s="5" t="s">
        <v>102</v>
      </c>
      <c r="I20" s="6" t="s">
        <v>103</v>
      </c>
    </row>
    <row r="21" spans="1:9" x14ac:dyDescent="0.2">
      <c r="A21" s="3" t="s">
        <v>104</v>
      </c>
      <c r="B21" s="4" t="s">
        <v>105</v>
      </c>
      <c r="C21" s="4" t="s">
        <v>106</v>
      </c>
      <c r="D21" s="4" t="s">
        <v>93</v>
      </c>
      <c r="E21" s="3" t="s">
        <v>107</v>
      </c>
      <c r="F21" s="4" t="s">
        <v>108</v>
      </c>
      <c r="G21" s="3" t="s">
        <v>101</v>
      </c>
      <c r="H21" s="3" t="s">
        <v>109</v>
      </c>
      <c r="I21" s="4" t="s">
        <v>103</v>
      </c>
    </row>
    <row r="22" spans="1:9" x14ac:dyDescent="0.2">
      <c r="A22" s="5" t="s">
        <v>110</v>
      </c>
      <c r="B22" s="6" t="s">
        <v>72</v>
      </c>
      <c r="C22" s="6" t="s">
        <v>111</v>
      </c>
      <c r="D22" s="6" t="s">
        <v>74</v>
      </c>
      <c r="E22" s="5" t="s">
        <v>112</v>
      </c>
      <c r="F22" s="6" t="s">
        <v>113</v>
      </c>
      <c r="G22" s="5" t="s">
        <v>17</v>
      </c>
      <c r="H22" s="5" t="s">
        <v>114</v>
      </c>
      <c r="I22" s="6" t="s">
        <v>19</v>
      </c>
    </row>
    <row r="23" spans="1:9" x14ac:dyDescent="0.2">
      <c r="A23" s="3" t="s">
        <v>115</v>
      </c>
      <c r="B23" s="4" t="s">
        <v>116</v>
      </c>
      <c r="C23" s="4" t="s">
        <v>117</v>
      </c>
      <c r="D23" s="4" t="s">
        <v>118</v>
      </c>
      <c r="E23" s="3" t="s">
        <v>119</v>
      </c>
      <c r="F23" s="4" t="s">
        <v>120</v>
      </c>
      <c r="G23" s="3" t="s">
        <v>17</v>
      </c>
      <c r="H23" s="3" t="s">
        <v>121</v>
      </c>
      <c r="I23" s="4" t="s">
        <v>19</v>
      </c>
    </row>
    <row r="24" spans="1:9" x14ac:dyDescent="0.2">
      <c r="A24" s="5" t="s">
        <v>122</v>
      </c>
      <c r="B24" s="6" t="s">
        <v>123</v>
      </c>
      <c r="C24" s="6" t="s">
        <v>124</v>
      </c>
      <c r="D24" s="6" t="s">
        <v>125</v>
      </c>
      <c r="E24" s="5" t="s">
        <v>126</v>
      </c>
      <c r="F24" s="6" t="s">
        <v>127</v>
      </c>
      <c r="G24" s="5" t="s">
        <v>17</v>
      </c>
      <c r="H24" s="5" t="s">
        <v>128</v>
      </c>
      <c r="I24" s="6" t="s">
        <v>19</v>
      </c>
    </row>
    <row r="25" spans="1:9" x14ac:dyDescent="0.2">
      <c r="A25" s="3" t="s">
        <v>129</v>
      </c>
      <c r="B25" s="4" t="s">
        <v>60</v>
      </c>
      <c r="C25" s="4" t="s">
        <v>130</v>
      </c>
      <c r="D25" s="4" t="s">
        <v>62</v>
      </c>
      <c r="E25" s="3" t="s">
        <v>131</v>
      </c>
      <c r="F25" s="4" t="s">
        <v>132</v>
      </c>
      <c r="G25" s="3" t="s">
        <v>17</v>
      </c>
      <c r="H25" s="3" t="s">
        <v>133</v>
      </c>
      <c r="I25" s="4" t="s">
        <v>19</v>
      </c>
    </row>
    <row r="26" spans="1:9" x14ac:dyDescent="0.2">
      <c r="A26" s="5" t="s">
        <v>134</v>
      </c>
      <c r="B26" s="6" t="s">
        <v>79</v>
      </c>
      <c r="C26" s="6" t="s">
        <v>135</v>
      </c>
      <c r="D26" s="6" t="s">
        <v>81</v>
      </c>
      <c r="E26" s="5" t="s">
        <v>136</v>
      </c>
      <c r="F26" s="6" t="s">
        <v>137</v>
      </c>
      <c r="G26" s="5" t="s">
        <v>101</v>
      </c>
      <c r="H26" s="5" t="s">
        <v>138</v>
      </c>
      <c r="I26" s="6" t="s">
        <v>103</v>
      </c>
    </row>
    <row r="27" spans="1:9" x14ac:dyDescent="0.2">
      <c r="A27" s="3" t="s">
        <v>139</v>
      </c>
      <c r="B27" s="4" t="s">
        <v>72</v>
      </c>
      <c r="C27" s="4" t="s">
        <v>140</v>
      </c>
      <c r="D27" s="4" t="s">
        <v>74</v>
      </c>
      <c r="E27" s="3" t="s">
        <v>141</v>
      </c>
      <c r="F27" s="4" t="s">
        <v>142</v>
      </c>
      <c r="G27" s="3" t="s">
        <v>143</v>
      </c>
      <c r="H27" s="3" t="s">
        <v>144</v>
      </c>
      <c r="I27" s="4" t="s">
        <v>103</v>
      </c>
    </row>
    <row r="28" spans="1:9" x14ac:dyDescent="0.2">
      <c r="A28" s="5" t="s">
        <v>145</v>
      </c>
      <c r="B28" s="6" t="s">
        <v>146</v>
      </c>
      <c r="C28" s="6" t="s">
        <v>147</v>
      </c>
      <c r="D28" s="6" t="s">
        <v>35</v>
      </c>
      <c r="E28" s="5" t="s">
        <v>148</v>
      </c>
      <c r="F28" s="6" t="s">
        <v>149</v>
      </c>
      <c r="G28" s="5" t="s">
        <v>17</v>
      </c>
      <c r="H28" s="5" t="s">
        <v>150</v>
      </c>
      <c r="I28" s="6" t="s">
        <v>19</v>
      </c>
    </row>
  </sheetData>
  <mergeCells count="1">
    <mergeCell ref="A2:I2"/>
  </mergeCells>
  <conditionalFormatting sqref="G7:G28">
    <cfRule type="cellIs" dxfId="7" priority="1" operator="equal">
      <formula>"Received &amp; Verified"</formula>
    </cfRule>
    <cfRule type="cellIs" dxfId="6" priority="2" operator="equal">
      <formula>"Pending Review"</formula>
    </cfRule>
    <cfRule type="cellIs" dxfId="5" priority="3" operator="equal">
      <formula>"Incomplete"</formula>
    </cfRule>
    <cfRule type="cellIs" dxfId="4" priority="4" operator="equal">
      <formula>"Rejected"</formula>
    </cfRule>
  </conditionalFormatting>
  <conditionalFormatting sqref="I7:I28">
    <cfRule type="cellIs" dxfId="3" priority="5" operator="equal">
      <formula>"Satisfactory"</formula>
    </cfRule>
    <cfRule type="cellIs" dxfId="2" priority="6" operator="equal">
      <formula>"Minor Deficiencies"</formula>
    </cfRule>
    <cfRule type="cellIs" dxfId="1" priority="7" operator="equal">
      <formula>"Major Deficiencies"</formula>
    </cfRule>
    <cfRule type="cellIs" dxfId="0" priority="8" operator="equal">
      <formula>"Not Tested"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0000000}">
          <x14:formula1>
            <xm:f>'Reference Data'!$A$2:$A$5</xm:f>
          </x14:formula1>
          <xm:sqref>G7:G28</xm:sqref>
        </x14:dataValidation>
        <x14:dataValidation type="list" allowBlank="1" xr:uid="{00000000-0002-0000-0000-000001000000}">
          <x14:formula1>
            <xm:f>'Reference Data'!$B$2:$B$5</xm:f>
          </x14:formula1>
          <xm:sqref>I7:I28</xm:sqref>
        </x14:dataValidation>
        <x14:dataValidation type="list" allowBlank="1" xr:uid="{00000000-0002-0000-0000-000002000000}">
          <x14:formula1>
            <xm:f>'Reference Data'!$C$2:$C$9</xm:f>
          </x14:formula1>
          <xm:sqref>B7:B28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1"/>
  <sheetViews>
    <sheetView workbookViewId="0"/>
  </sheetViews>
  <sheetFormatPr defaultRowHeight="15" x14ac:dyDescent="0.2"/>
  <cols>
    <col min="1" max="1" width="11.97265625" customWidth="1"/>
    <col min="2" max="2" width="36.05078125" customWidth="1"/>
    <col min="3" max="3" width="48.0234375" customWidth="1"/>
    <col min="4" max="4" width="14.9296875" customWidth="1"/>
    <col min="5" max="5" width="11.97265625" customWidth="1"/>
  </cols>
  <sheetData>
    <row r="2" spans="2:5" ht="21" x14ac:dyDescent="0.3">
      <c r="B2" s="14" t="s">
        <v>151</v>
      </c>
      <c r="C2" s="15"/>
      <c r="D2" s="15"/>
      <c r="E2" s="15"/>
    </row>
    <row r="4" spans="2:5" x14ac:dyDescent="0.2">
      <c r="B4" s="1" t="s">
        <v>152</v>
      </c>
    </row>
    <row r="6" spans="2:5" x14ac:dyDescent="0.2">
      <c r="B6" s="2" t="s">
        <v>153</v>
      </c>
      <c r="C6" s="2" t="s">
        <v>154</v>
      </c>
      <c r="D6" s="2" t="s">
        <v>155</v>
      </c>
    </row>
    <row r="7" spans="2:5" x14ac:dyDescent="0.2">
      <c r="B7" s="7" t="s">
        <v>17</v>
      </c>
      <c r="C7" s="8">
        <f>COUNTIF('Evidence Register'!$G$7:$G$28, B7)</f>
        <v>18</v>
      </c>
      <c r="D7" s="9">
        <f>C7/$C$11</f>
        <v>0.81818181818181823</v>
      </c>
    </row>
    <row r="8" spans="2:5" x14ac:dyDescent="0.2">
      <c r="B8" s="7" t="s">
        <v>101</v>
      </c>
      <c r="C8" s="8">
        <f>COUNTIF('Evidence Register'!$G$7:$G$28, B8)</f>
        <v>3</v>
      </c>
      <c r="D8" s="9">
        <f>C8/$C$11</f>
        <v>0.13636363636363635</v>
      </c>
    </row>
    <row r="9" spans="2:5" x14ac:dyDescent="0.2">
      <c r="B9" s="7" t="s">
        <v>143</v>
      </c>
      <c r="C9" s="8">
        <f>COUNTIF('Evidence Register'!$G$7:$G$28, B9)</f>
        <v>1</v>
      </c>
      <c r="D9" s="9">
        <f>C9/$C$11</f>
        <v>4.5454545454545456E-2</v>
      </c>
    </row>
    <row r="10" spans="2:5" x14ac:dyDescent="0.2">
      <c r="B10" s="7" t="s">
        <v>156</v>
      </c>
      <c r="C10" s="8">
        <f>COUNTIF('Evidence Register'!$G$7:$G$28, B10)</f>
        <v>0</v>
      </c>
      <c r="D10" s="9">
        <f>C10/$C$11</f>
        <v>0</v>
      </c>
    </row>
    <row r="11" spans="2:5" x14ac:dyDescent="0.2">
      <c r="B11" s="10" t="s">
        <v>157</v>
      </c>
      <c r="C11" s="11">
        <f>SUM(C7:C10)</f>
        <v>22</v>
      </c>
      <c r="D11" s="12">
        <f>SUM(D7:D10)</f>
        <v>1</v>
      </c>
    </row>
  </sheetData>
  <mergeCells count="1">
    <mergeCell ref="B2:E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5" x14ac:dyDescent="0.2"/>
  <cols>
    <col min="1" max="1" width="16.94921875" customWidth="1"/>
    <col min="2" max="2" width="20.984375" customWidth="1"/>
    <col min="3" max="3" width="22.05859375" customWidth="1"/>
  </cols>
  <sheetData>
    <row r="1" spans="1:3" x14ac:dyDescent="0.2">
      <c r="A1" s="13" t="s">
        <v>158</v>
      </c>
      <c r="B1" s="13" t="s">
        <v>159</v>
      </c>
      <c r="C1" s="13" t="s">
        <v>160</v>
      </c>
    </row>
    <row r="2" spans="1:3" x14ac:dyDescent="0.2">
      <c r="A2" t="s">
        <v>17</v>
      </c>
      <c r="B2" t="s">
        <v>19</v>
      </c>
      <c r="C2" t="s">
        <v>33</v>
      </c>
    </row>
    <row r="3" spans="1:3" x14ac:dyDescent="0.2">
      <c r="A3" t="s">
        <v>101</v>
      </c>
      <c r="B3" t="s">
        <v>46</v>
      </c>
      <c r="C3" t="s">
        <v>12</v>
      </c>
    </row>
    <row r="4" spans="1:3" x14ac:dyDescent="0.2">
      <c r="A4" t="s">
        <v>143</v>
      </c>
      <c r="B4" t="s">
        <v>85</v>
      </c>
      <c r="C4" t="s">
        <v>21</v>
      </c>
    </row>
    <row r="5" spans="1:3" x14ac:dyDescent="0.2">
      <c r="A5" t="s">
        <v>156</v>
      </c>
      <c r="B5" t="s">
        <v>103</v>
      </c>
      <c r="C5" t="s">
        <v>72</v>
      </c>
    </row>
    <row r="6" spans="1:3" x14ac:dyDescent="0.2">
      <c r="C6" t="s">
        <v>48</v>
      </c>
    </row>
    <row r="7" spans="1:3" x14ac:dyDescent="0.2">
      <c r="C7" t="s">
        <v>79</v>
      </c>
    </row>
    <row r="8" spans="1:3" x14ac:dyDescent="0.2">
      <c r="C8" t="s">
        <v>40</v>
      </c>
    </row>
    <row r="9" spans="1:3" x14ac:dyDescent="0.2">
      <c r="C9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Evidence Register</vt:lpstr>
      <vt:lpstr>Dashboard</vt:lpstr>
      <vt:lpstr>Reference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2026-08-26T10:36:10Z</dcterms:created>
  <dcterms:modified xsi:type="dcterms:W3CDTF">2026-08-26T10:36:10Z</dcterms:modified>
</cp:coreProperties>
</file>