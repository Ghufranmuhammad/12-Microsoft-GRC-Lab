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F8CCB780-CCE4-2D44-A48C-9621A150F1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RC KPI &amp; KRI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18" i="1"/>
  <c r="F17" i="1"/>
  <c r="F16" i="1"/>
  <c r="F14" i="1"/>
  <c r="F13" i="1"/>
  <c r="F10" i="1"/>
  <c r="F8" i="1"/>
  <c r="F7" i="1"/>
  <c r="F6" i="1"/>
</calcChain>
</file>

<file path=xl/sharedStrings.xml><?xml version="1.0" encoding="utf-8"?>
<sst xmlns="http://schemas.openxmlformats.org/spreadsheetml/2006/main" count="242" uniqueCount="163">
  <si>
    <t>Governance, Risk, and Compliance (GRC) - KPI &amp; KRI Register</t>
  </si>
  <si>
    <t>Fictional / Educational Simulation Dataset | Effective Date: September 6, 2026</t>
  </si>
  <si>
    <t>Metric ID</t>
  </si>
  <si>
    <t>Metric</t>
  </si>
  <si>
    <t>Type</t>
  </si>
  <si>
    <t>Category</t>
  </si>
  <si>
    <t>Formula</t>
  </si>
  <si>
    <t>Target</t>
  </si>
  <si>
    <t>Threshold</t>
  </si>
  <si>
    <t>Current Value</t>
  </si>
  <si>
    <t>Status</t>
  </si>
  <si>
    <t>Owner</t>
  </si>
  <si>
    <t>Frequency</t>
  </si>
  <si>
    <t>Action</t>
  </si>
  <si>
    <t>MET-RSK-01</t>
  </si>
  <si>
    <t>High &amp; Critical Risk Open Remediation Rate</t>
  </si>
  <si>
    <t>KRI</t>
  </si>
  <si>
    <t>Risk</t>
  </si>
  <si>
    <t>(Remediated High Risks / Total Open High Risks) * 100</t>
  </si>
  <si>
    <t>&gt;= 90%</t>
  </si>
  <si>
    <t>&lt; 75%</t>
  </si>
  <si>
    <t>88.5%</t>
  </si>
  <si>
    <t>Warning</t>
  </si>
  <si>
    <t>Head of Enterprise Risk</t>
  </si>
  <si>
    <t>Monthly</t>
  </si>
  <si>
    <t>Escalate overdue high-risk items to executive risk committee.</t>
  </si>
  <si>
    <t>MET-RSK-02</t>
  </si>
  <si>
    <t>Enterprise Risk Register Review Freshness</t>
  </si>
  <si>
    <t>KPI</t>
  </si>
  <si>
    <t>(Risks Reviewed within 90 Days / Total Enterprise Risks) * 100</t>
  </si>
  <si>
    <t>&lt; 90%</t>
  </si>
  <si>
    <t>95.0%</t>
  </si>
  <si>
    <t>On Track</t>
  </si>
  <si>
    <t>Risk Management Team</t>
  </si>
  <si>
    <t>Quarterly</t>
  </si>
  <si>
    <t>Schedule review sessions with delinquent risk owners.</t>
  </si>
  <si>
    <t>MET-CMP-01</t>
  </si>
  <si>
    <t>Regulatory Compliance Obligation Adherence</t>
  </si>
  <si>
    <t>Compliance</t>
  </si>
  <si>
    <t>(Compliant Regulations / Total Tracked Regulations) * 100</t>
  </si>
  <si>
    <t>&lt; 98%</t>
  </si>
  <si>
    <t>100.0%</t>
  </si>
  <si>
    <t>Chief Compliance Officer</t>
  </si>
  <si>
    <t>Continue routine regulatory horizon scanning.</t>
  </si>
  <si>
    <t>MET-CMP-02</t>
  </si>
  <si>
    <t>Regulatory Inquiry Response Timeliness</t>
  </si>
  <si>
    <t>(Inquiries Responded Within SLA / Total Inquiries) * 100</t>
  </si>
  <si>
    <t>&lt; 95%</t>
  </si>
  <si>
    <t>Regulatory Affairs Lead</t>
  </si>
  <si>
    <t>Maintain current intake tracking log.</t>
  </si>
  <si>
    <t>MET-AUD-01</t>
  </si>
  <si>
    <t>Internal Audit Finding Remediation On-Time Rate</t>
  </si>
  <si>
    <t>Audit</t>
  </si>
  <si>
    <t>(Findings Closed on Time / Total Agreed Findings Due) * 100</t>
  </si>
  <si>
    <t>&lt; 80%</t>
  </si>
  <si>
    <t>85.0%</t>
  </si>
  <si>
    <t>Internal Audit Director</t>
  </si>
  <si>
    <t>Issue warning notices to owners with findings approaching due dates.</t>
  </si>
  <si>
    <t>MET-AUD-02</t>
  </si>
  <si>
    <t>Open Audit Findings Aging &gt; 180 Days</t>
  </si>
  <si>
    <t>Count of Open Audit Findings where (Current Date - Due Date) &gt; 180</t>
  </si>
  <si>
    <t>&gt; 2</t>
  </si>
  <si>
    <t>1</t>
  </si>
  <si>
    <t>Audit Remediation Manager</t>
  </si>
  <si>
    <t>Review blocked findings with executive sponsor for resource allocation.</t>
  </si>
  <si>
    <t>MET-CTL-01</t>
  </si>
  <si>
    <t>Key Control Testing Pass Rate</t>
  </si>
  <si>
    <t>Controls</t>
  </si>
  <si>
    <t>(Key Controls Tested Effective / Total Key Controls Tested) * 100</t>
  </si>
  <si>
    <t>&gt;= 95%</t>
  </si>
  <si>
    <t>&lt; 85%</t>
  </si>
  <si>
    <t>92.3%</t>
  </si>
  <si>
    <t>SOX / Controls Lead</t>
  </si>
  <si>
    <t>Perform root-cause analysis on failed operating effectiveness tests.</t>
  </si>
  <si>
    <t>MET-CTL-02</t>
  </si>
  <si>
    <t>Automated vs. Manual Control Ratio</t>
  </si>
  <si>
    <t>(Automated Controls / Total Controls) * 100</t>
  </si>
  <si>
    <t>&gt;= 70%</t>
  </si>
  <si>
    <t>&lt; 50%</t>
  </si>
  <si>
    <t>68.0%</t>
  </si>
  <si>
    <t>IT General Controls Lead</t>
  </si>
  <si>
    <t>Bi-Annual</t>
  </si>
  <si>
    <t>Identify manual control workflows suitable for automation scripts.</t>
  </si>
  <si>
    <t>MET-VND-01</t>
  </si>
  <si>
    <t>Tier 1 Third-Party Risk Assessment Completion Rate</t>
  </si>
  <si>
    <t>Vendors</t>
  </si>
  <si>
    <t>(Tier 1 Vendors Assessed / Total Tier 1 Active Vendors) * 100</t>
  </si>
  <si>
    <t>96.2%</t>
  </si>
  <si>
    <t>Vendor Risk Manager</t>
  </si>
  <si>
    <t>Follow up on outstanding vendor security questionnaires.</t>
  </si>
  <si>
    <t>MET-VND-02</t>
  </si>
  <si>
    <t>High-Risk Vendor Critical Findings Open &gt; 30 Days</t>
  </si>
  <si>
    <t>Count of High-Risk Vendors with unmitigated critical findings &gt; 30 days</t>
  </si>
  <si>
    <t>&gt; 3</t>
  </si>
  <si>
    <t>2</t>
  </si>
  <si>
    <t>Procurement &amp; Third-Party Risk</t>
  </si>
  <si>
    <t>Enforce contractual escalation clauses for non-compliant vendors.</t>
  </si>
  <si>
    <t>MET-VND-03</t>
  </si>
  <si>
    <t>Vendor SLA Performance Compliance</t>
  </si>
  <si>
    <t>(Vendors Meeting SLA / Total Monitored Vendors) * 100</t>
  </si>
  <si>
    <t>94.5%</t>
  </si>
  <si>
    <t>Vendor Management Office</t>
  </si>
  <si>
    <t>Conduct quarterly vendor review meetings to address performance dips.</t>
  </si>
  <si>
    <t>MET-PRV-01</t>
  </si>
  <si>
    <t>Data Subject Access Request (DSAR) Fulfillment SLA</t>
  </si>
  <si>
    <t>Privacy</t>
  </si>
  <si>
    <t>(DSARs Fulfilled Within Statutory Window / Total DSARs) * 100</t>
  </si>
  <si>
    <t>98.1%</t>
  </si>
  <si>
    <t>Data Protection Officer</t>
  </si>
  <si>
    <t>Streamline intake automation for data subject requests.</t>
  </si>
  <si>
    <t>MET-PRV-02</t>
  </si>
  <si>
    <t>Privacy Impact Assessment (PIA) Coverage</t>
  </si>
  <si>
    <t>(New Projects with Completed PIA / Total New Projects) * 100</t>
  </si>
  <si>
    <t>Privacy Operations Manager</t>
  </si>
  <si>
    <t>Maintain mandatory gateway checks in project management lifecycle.</t>
  </si>
  <si>
    <t>MET-PRV-03</t>
  </si>
  <si>
    <t>Privacy Incidents / Data Breaches Reported</t>
  </si>
  <si>
    <t>Count of Confirmed Personal Data Breaches</t>
  </si>
  <si>
    <t>&gt; 1</t>
  </si>
  <si>
    <t>0</t>
  </si>
  <si>
    <t>Continue employee privacy awareness training.</t>
  </si>
  <si>
    <t>MET-INC-01</t>
  </si>
  <si>
    <t>P1 Security Incident Mean Time to Detect (MTTD)</t>
  </si>
  <si>
    <t>Incidents</t>
  </si>
  <si>
    <t>Average time elapsed from incident start to detection (Hours)</t>
  </si>
  <si>
    <t>&lt; 1 Hour</t>
  </si>
  <si>
    <t>&gt; 4 Hours</t>
  </si>
  <si>
    <t>0.75 Hours</t>
  </si>
  <si>
    <t>Security Operations Center (SOC) Lead</t>
  </si>
  <si>
    <t>Tune SIEM detection rules to reduce latency.</t>
  </si>
  <si>
    <t>MET-INC-02</t>
  </si>
  <si>
    <t>P1 Security Incident Mean Time to Respond / Resolve (MTTR)</t>
  </si>
  <si>
    <t>Average time elapsed from detection to containment / resolution (Hours)</t>
  </si>
  <si>
    <t>&lt; 2 Hours</t>
  </si>
  <si>
    <t>&gt; 6 Hours</t>
  </si>
  <si>
    <t>1.80 Hours</t>
  </si>
  <si>
    <t>Incident Response Commander</t>
  </si>
  <si>
    <t>Conduct post-incident reviews to optimize containment playbooks.</t>
  </si>
  <si>
    <t>MET-INC-03</t>
  </si>
  <si>
    <t>Unplanned Major Security Incidents Count</t>
  </si>
  <si>
    <t>Total Count of Severity 1 Security Incidents per Period</t>
  </si>
  <si>
    <t>CISO</t>
  </si>
  <si>
    <t>Execute targeted threat hunting exercises in vulnerable zones.</t>
  </si>
  <si>
    <t>MET-BCP-01</t>
  </si>
  <si>
    <t>Disaster Recovery Test Success Rate</t>
  </si>
  <si>
    <t>Business Continuity</t>
  </si>
  <si>
    <t>(Successful DR Tests / Total Scheduled DR Tests) * 100</t>
  </si>
  <si>
    <t>Business Continuity Manager</t>
  </si>
  <si>
    <t>Maintain bi-annual simulation schedule.</t>
  </si>
  <si>
    <t>MET-BCP-02</t>
  </si>
  <si>
    <t>Critical Business Process BIA Review Currency</t>
  </si>
  <si>
    <t>(BIAs Reviewed Within 12 Months / Total Critical Processes) * 100</t>
  </si>
  <si>
    <t>91.0%</t>
  </si>
  <si>
    <t>Business Continuity Lead</t>
  </si>
  <si>
    <t>Semi-Annual</t>
  </si>
  <si>
    <t>Schedule review workshops with lagging process owners.</t>
  </si>
  <si>
    <t>MET-BCP-03</t>
  </si>
  <si>
    <t>Employee Emergency Contact Record Completeness</t>
  </si>
  <si>
    <t>(Active Employees with Verified Emergency Contacts / Total Employees) * 100</t>
  </si>
  <si>
    <t>&gt;= 98%</t>
  </si>
  <si>
    <t>94.2%</t>
  </si>
  <si>
    <t>HR Operations Manager</t>
  </si>
  <si>
    <t>Launch an internal HR campaign for employees to update emergency profiles.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</si>
</sst>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806000"/>
      <name val="Segoe UI"/>
    </font>
    <font>
      <b/>
      <sz val="10"/>
      <color rgb="FF37562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K3" workbookViewId="0"/>
  </sheetViews>
  <sheetFormatPr defaultRowHeight="15" x14ac:dyDescent="0.2"/>
  <cols>
    <col min="1" max="1" width="14.9296875" customWidth="1"/>
    <col min="2" max="2" width="37.93359375" customWidth="1"/>
    <col min="3" max="3" width="11.97265625" customWidth="1"/>
    <col min="4" max="4" width="18.0234375" customWidth="1"/>
    <col min="5" max="5" width="48.0234375" customWidth="1"/>
    <col min="6" max="9" width="16.0078125" customWidth="1"/>
    <col min="10" max="10" width="27.98046875" customWidth="1"/>
    <col min="11" max="11" width="16.0078125" customWidth="1"/>
    <col min="12" max="12" width="55.01953125" customWidth="1"/>
  </cols>
  <sheetData>
    <row r="1" spans="1:12" ht="24.95" customHeight="1" x14ac:dyDescent="0.35">
      <c r="A1" s="1" t="s">
        <v>0</v>
      </c>
    </row>
    <row r="2" spans="1:12" ht="18" customHeight="1" x14ac:dyDescent="0.2">
      <c r="A2" s="2" t="s">
        <v>1</v>
      </c>
    </row>
    <row r="3" spans="1:12" ht="9.9499999999999993" customHeight="1" x14ac:dyDescent="0.2"/>
    <row r="4" spans="1:12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26.1" customHeight="1" x14ac:dyDescent="0.2">
      <c r="A5" s="4" t="s">
        <v>14</v>
      </c>
      <c r="B5" s="5" t="s">
        <v>15</v>
      </c>
      <c r="C5" s="4" t="s">
        <v>16</v>
      </c>
      <c r="D5" s="5" t="s">
        <v>17</v>
      </c>
      <c r="E5" s="5" t="s">
        <v>18</v>
      </c>
      <c r="F5" s="4" t="s">
        <v>19</v>
      </c>
      <c r="G5" s="4" t="s">
        <v>20</v>
      </c>
      <c r="H5" s="4" t="s">
        <v>21</v>
      </c>
      <c r="I5" s="6" t="s">
        <v>22</v>
      </c>
      <c r="J5" s="5" t="s">
        <v>23</v>
      </c>
      <c r="K5" s="4" t="s">
        <v>24</v>
      </c>
      <c r="L5" s="5" t="s">
        <v>25</v>
      </c>
    </row>
    <row r="6" spans="1:12" ht="26.1" customHeight="1" x14ac:dyDescent="0.2">
      <c r="A6" s="7" t="s">
        <v>26</v>
      </c>
      <c r="B6" s="8" t="s">
        <v>27</v>
      </c>
      <c r="C6" s="7" t="s">
        <v>28</v>
      </c>
      <c r="D6" s="8" t="s">
        <v>17</v>
      </c>
      <c r="E6" s="8" t="s">
        <v>29</v>
      </c>
      <c r="F6" s="7">
        <f>100%</f>
        <v>1</v>
      </c>
      <c r="G6" s="7" t="s">
        <v>30</v>
      </c>
      <c r="H6" s="7" t="s">
        <v>31</v>
      </c>
      <c r="I6" s="9" t="s">
        <v>32</v>
      </c>
      <c r="J6" s="8" t="s">
        <v>33</v>
      </c>
      <c r="K6" s="7" t="s">
        <v>34</v>
      </c>
      <c r="L6" s="8" t="s">
        <v>35</v>
      </c>
    </row>
    <row r="7" spans="1:12" ht="26.1" customHeight="1" x14ac:dyDescent="0.2">
      <c r="A7" s="4" t="s">
        <v>36</v>
      </c>
      <c r="B7" s="5" t="s">
        <v>37</v>
      </c>
      <c r="C7" s="4" t="s">
        <v>28</v>
      </c>
      <c r="D7" s="5" t="s">
        <v>38</v>
      </c>
      <c r="E7" s="5" t="s">
        <v>39</v>
      </c>
      <c r="F7" s="4">
        <f>100%</f>
        <v>1</v>
      </c>
      <c r="G7" s="4" t="s">
        <v>40</v>
      </c>
      <c r="H7" s="4" t="s">
        <v>41</v>
      </c>
      <c r="I7" s="9" t="s">
        <v>32</v>
      </c>
      <c r="J7" s="5" t="s">
        <v>42</v>
      </c>
      <c r="K7" s="4" t="s">
        <v>34</v>
      </c>
      <c r="L7" s="5" t="s">
        <v>43</v>
      </c>
    </row>
    <row r="8" spans="1:12" ht="26.1" customHeight="1" x14ac:dyDescent="0.2">
      <c r="A8" s="7" t="s">
        <v>44</v>
      </c>
      <c r="B8" s="8" t="s">
        <v>45</v>
      </c>
      <c r="C8" s="7" t="s">
        <v>28</v>
      </c>
      <c r="D8" s="8" t="s">
        <v>38</v>
      </c>
      <c r="E8" s="8" t="s">
        <v>46</v>
      </c>
      <c r="F8" s="7">
        <f>100%</f>
        <v>1</v>
      </c>
      <c r="G8" s="7" t="s">
        <v>47</v>
      </c>
      <c r="H8" s="7" t="s">
        <v>41</v>
      </c>
      <c r="I8" s="9" t="s">
        <v>32</v>
      </c>
      <c r="J8" s="8" t="s">
        <v>48</v>
      </c>
      <c r="K8" s="7" t="s">
        <v>24</v>
      </c>
      <c r="L8" s="8" t="s">
        <v>49</v>
      </c>
    </row>
    <row r="9" spans="1:12" ht="26.1" customHeight="1" x14ac:dyDescent="0.2">
      <c r="A9" s="4" t="s">
        <v>50</v>
      </c>
      <c r="B9" s="5" t="s">
        <v>51</v>
      </c>
      <c r="C9" s="4" t="s">
        <v>28</v>
      </c>
      <c r="D9" s="5" t="s">
        <v>52</v>
      </c>
      <c r="E9" s="5" t="s">
        <v>53</v>
      </c>
      <c r="F9" s="4" t="s">
        <v>19</v>
      </c>
      <c r="G9" s="4" t="s">
        <v>54</v>
      </c>
      <c r="H9" s="4" t="s">
        <v>55</v>
      </c>
      <c r="I9" s="6" t="s">
        <v>22</v>
      </c>
      <c r="J9" s="5" t="s">
        <v>56</v>
      </c>
      <c r="K9" s="4" t="s">
        <v>24</v>
      </c>
      <c r="L9" s="5" t="s">
        <v>57</v>
      </c>
    </row>
    <row r="10" spans="1:12" ht="26.1" customHeight="1" x14ac:dyDescent="0.2">
      <c r="A10" s="7" t="s">
        <v>58</v>
      </c>
      <c r="B10" s="8" t="s">
        <v>59</v>
      </c>
      <c r="C10" s="7" t="s">
        <v>16</v>
      </c>
      <c r="D10" s="8" t="s">
        <v>52</v>
      </c>
      <c r="E10" s="8" t="s">
        <v>60</v>
      </c>
      <c r="F10" s="7">
        <f>0</f>
        <v>0</v>
      </c>
      <c r="G10" s="7" t="s">
        <v>61</v>
      </c>
      <c r="H10" s="7" t="s">
        <v>62</v>
      </c>
      <c r="I10" s="6" t="s">
        <v>22</v>
      </c>
      <c r="J10" s="8" t="s">
        <v>63</v>
      </c>
      <c r="K10" s="7" t="s">
        <v>34</v>
      </c>
      <c r="L10" s="8" t="s">
        <v>64</v>
      </c>
    </row>
    <row r="11" spans="1:12" ht="26.1" customHeight="1" x14ac:dyDescent="0.2">
      <c r="A11" s="4" t="s">
        <v>65</v>
      </c>
      <c r="B11" s="5" t="s">
        <v>66</v>
      </c>
      <c r="C11" s="4" t="s">
        <v>28</v>
      </c>
      <c r="D11" s="5" t="s">
        <v>67</v>
      </c>
      <c r="E11" s="5" t="s">
        <v>68</v>
      </c>
      <c r="F11" s="4" t="s">
        <v>69</v>
      </c>
      <c r="G11" s="4" t="s">
        <v>70</v>
      </c>
      <c r="H11" s="4" t="s">
        <v>71</v>
      </c>
      <c r="I11" s="6" t="s">
        <v>22</v>
      </c>
      <c r="J11" s="5" t="s">
        <v>72</v>
      </c>
      <c r="K11" s="4" t="s">
        <v>34</v>
      </c>
      <c r="L11" s="5" t="s">
        <v>73</v>
      </c>
    </row>
    <row r="12" spans="1:12" ht="26.1" customHeight="1" x14ac:dyDescent="0.2">
      <c r="A12" s="7" t="s">
        <v>74</v>
      </c>
      <c r="B12" s="8" t="s">
        <v>75</v>
      </c>
      <c r="C12" s="7" t="s">
        <v>28</v>
      </c>
      <c r="D12" s="8" t="s">
        <v>67</v>
      </c>
      <c r="E12" s="8" t="s">
        <v>76</v>
      </c>
      <c r="F12" s="7" t="s">
        <v>77</v>
      </c>
      <c r="G12" s="7" t="s">
        <v>78</v>
      </c>
      <c r="H12" s="7" t="s">
        <v>79</v>
      </c>
      <c r="I12" s="9" t="s">
        <v>32</v>
      </c>
      <c r="J12" s="8" t="s">
        <v>80</v>
      </c>
      <c r="K12" s="7" t="s">
        <v>81</v>
      </c>
      <c r="L12" s="8" t="s">
        <v>82</v>
      </c>
    </row>
    <row r="13" spans="1:12" ht="26.1" customHeight="1" x14ac:dyDescent="0.2">
      <c r="A13" s="4" t="s">
        <v>83</v>
      </c>
      <c r="B13" s="5" t="s">
        <v>84</v>
      </c>
      <c r="C13" s="4" t="s">
        <v>28</v>
      </c>
      <c r="D13" s="5" t="s">
        <v>85</v>
      </c>
      <c r="E13" s="5" t="s">
        <v>86</v>
      </c>
      <c r="F13" s="4">
        <f>100%</f>
        <v>1</v>
      </c>
      <c r="G13" s="4" t="s">
        <v>30</v>
      </c>
      <c r="H13" s="4" t="s">
        <v>87</v>
      </c>
      <c r="I13" s="9" t="s">
        <v>32</v>
      </c>
      <c r="J13" s="5" t="s">
        <v>88</v>
      </c>
      <c r="K13" s="4" t="s">
        <v>24</v>
      </c>
      <c r="L13" s="5" t="s">
        <v>89</v>
      </c>
    </row>
    <row r="14" spans="1:12" ht="26.1" customHeight="1" x14ac:dyDescent="0.2">
      <c r="A14" s="7" t="s">
        <v>90</v>
      </c>
      <c r="B14" s="8" t="s">
        <v>91</v>
      </c>
      <c r="C14" s="7" t="s">
        <v>16</v>
      </c>
      <c r="D14" s="8" t="s">
        <v>85</v>
      </c>
      <c r="E14" s="8" t="s">
        <v>92</v>
      </c>
      <c r="F14" s="7">
        <f>0</f>
        <v>0</v>
      </c>
      <c r="G14" s="7" t="s">
        <v>93</v>
      </c>
      <c r="H14" s="7" t="s">
        <v>94</v>
      </c>
      <c r="I14" s="6" t="s">
        <v>22</v>
      </c>
      <c r="J14" s="8" t="s">
        <v>95</v>
      </c>
      <c r="K14" s="7" t="s">
        <v>24</v>
      </c>
      <c r="L14" s="8" t="s">
        <v>96</v>
      </c>
    </row>
    <row r="15" spans="1:12" ht="26.1" customHeight="1" x14ac:dyDescent="0.2">
      <c r="A15" s="4" t="s">
        <v>97</v>
      </c>
      <c r="B15" s="5" t="s">
        <v>98</v>
      </c>
      <c r="C15" s="4" t="s">
        <v>28</v>
      </c>
      <c r="D15" s="5" t="s">
        <v>85</v>
      </c>
      <c r="E15" s="5" t="s">
        <v>99</v>
      </c>
      <c r="F15" s="4" t="s">
        <v>69</v>
      </c>
      <c r="G15" s="4" t="s">
        <v>30</v>
      </c>
      <c r="H15" s="4" t="s">
        <v>100</v>
      </c>
      <c r="I15" s="6" t="s">
        <v>22</v>
      </c>
      <c r="J15" s="5" t="s">
        <v>101</v>
      </c>
      <c r="K15" s="4" t="s">
        <v>24</v>
      </c>
      <c r="L15" s="5" t="s">
        <v>102</v>
      </c>
    </row>
    <row r="16" spans="1:12" ht="26.1" customHeight="1" x14ac:dyDescent="0.2">
      <c r="A16" s="7" t="s">
        <v>103</v>
      </c>
      <c r="B16" s="8" t="s">
        <v>104</v>
      </c>
      <c r="C16" s="7" t="s">
        <v>28</v>
      </c>
      <c r="D16" s="8" t="s">
        <v>105</v>
      </c>
      <c r="E16" s="8" t="s">
        <v>106</v>
      </c>
      <c r="F16" s="7">
        <f>100%</f>
        <v>1</v>
      </c>
      <c r="G16" s="7" t="s">
        <v>47</v>
      </c>
      <c r="H16" s="7" t="s">
        <v>107</v>
      </c>
      <c r="I16" s="9" t="s">
        <v>32</v>
      </c>
      <c r="J16" s="8" t="s">
        <v>108</v>
      </c>
      <c r="K16" s="7" t="s">
        <v>24</v>
      </c>
      <c r="L16" s="8" t="s">
        <v>109</v>
      </c>
    </row>
    <row r="17" spans="1:12" ht="26.1" customHeight="1" x14ac:dyDescent="0.2">
      <c r="A17" s="4" t="s">
        <v>110</v>
      </c>
      <c r="B17" s="5" t="s">
        <v>111</v>
      </c>
      <c r="C17" s="4" t="s">
        <v>28</v>
      </c>
      <c r="D17" s="5" t="s">
        <v>105</v>
      </c>
      <c r="E17" s="5" t="s">
        <v>112</v>
      </c>
      <c r="F17" s="4">
        <f>100%</f>
        <v>1</v>
      </c>
      <c r="G17" s="4" t="s">
        <v>30</v>
      </c>
      <c r="H17" s="4" t="s">
        <v>41</v>
      </c>
      <c r="I17" s="9" t="s">
        <v>32</v>
      </c>
      <c r="J17" s="5" t="s">
        <v>113</v>
      </c>
      <c r="K17" s="4" t="s">
        <v>24</v>
      </c>
      <c r="L17" s="5" t="s">
        <v>114</v>
      </c>
    </row>
    <row r="18" spans="1:12" ht="26.1" customHeight="1" x14ac:dyDescent="0.2">
      <c r="A18" s="7" t="s">
        <v>115</v>
      </c>
      <c r="B18" s="8" t="s">
        <v>116</v>
      </c>
      <c r="C18" s="7" t="s">
        <v>16</v>
      </c>
      <c r="D18" s="8" t="s">
        <v>105</v>
      </c>
      <c r="E18" s="8" t="s">
        <v>117</v>
      </c>
      <c r="F18" s="7">
        <f>0</f>
        <v>0</v>
      </c>
      <c r="G18" s="7" t="s">
        <v>118</v>
      </c>
      <c r="H18" s="7" t="s">
        <v>119</v>
      </c>
      <c r="I18" s="9" t="s">
        <v>32</v>
      </c>
      <c r="J18" s="8" t="s">
        <v>108</v>
      </c>
      <c r="K18" s="7" t="s">
        <v>24</v>
      </c>
      <c r="L18" s="8" t="s">
        <v>120</v>
      </c>
    </row>
    <row r="19" spans="1:12" ht="26.1" customHeight="1" x14ac:dyDescent="0.2">
      <c r="A19" s="4" t="s">
        <v>121</v>
      </c>
      <c r="B19" s="5" t="s">
        <v>122</v>
      </c>
      <c r="C19" s="4" t="s">
        <v>28</v>
      </c>
      <c r="D19" s="5" t="s">
        <v>123</v>
      </c>
      <c r="E19" s="5" t="s">
        <v>124</v>
      </c>
      <c r="F19" s="4" t="s">
        <v>125</v>
      </c>
      <c r="G19" s="4" t="s">
        <v>126</v>
      </c>
      <c r="H19" s="4" t="s">
        <v>127</v>
      </c>
      <c r="I19" s="9" t="s">
        <v>32</v>
      </c>
      <c r="J19" s="5" t="s">
        <v>128</v>
      </c>
      <c r="K19" s="4" t="s">
        <v>24</v>
      </c>
      <c r="L19" s="5" t="s">
        <v>129</v>
      </c>
    </row>
    <row r="20" spans="1:12" ht="26.1" customHeight="1" x14ac:dyDescent="0.2">
      <c r="A20" s="7" t="s">
        <v>130</v>
      </c>
      <c r="B20" s="8" t="s">
        <v>131</v>
      </c>
      <c r="C20" s="7" t="s">
        <v>28</v>
      </c>
      <c r="D20" s="8" t="s">
        <v>123</v>
      </c>
      <c r="E20" s="8" t="s">
        <v>132</v>
      </c>
      <c r="F20" s="7" t="s">
        <v>133</v>
      </c>
      <c r="G20" s="7" t="s">
        <v>134</v>
      </c>
      <c r="H20" s="7" t="s">
        <v>135</v>
      </c>
      <c r="I20" s="9" t="s">
        <v>32</v>
      </c>
      <c r="J20" s="8" t="s">
        <v>136</v>
      </c>
      <c r="K20" s="7" t="s">
        <v>24</v>
      </c>
      <c r="L20" s="8" t="s">
        <v>137</v>
      </c>
    </row>
    <row r="21" spans="1:12" ht="26.1" customHeight="1" x14ac:dyDescent="0.2">
      <c r="A21" s="4" t="s">
        <v>138</v>
      </c>
      <c r="B21" s="5" t="s">
        <v>139</v>
      </c>
      <c r="C21" s="4" t="s">
        <v>16</v>
      </c>
      <c r="D21" s="5" t="s">
        <v>123</v>
      </c>
      <c r="E21" s="5" t="s">
        <v>140</v>
      </c>
      <c r="F21" s="4">
        <f>0</f>
        <v>0</v>
      </c>
      <c r="G21" s="4" t="s">
        <v>61</v>
      </c>
      <c r="H21" s="4" t="s">
        <v>62</v>
      </c>
      <c r="I21" s="6" t="s">
        <v>22</v>
      </c>
      <c r="J21" s="5" t="s">
        <v>141</v>
      </c>
      <c r="K21" s="4" t="s">
        <v>24</v>
      </c>
      <c r="L21" s="5" t="s">
        <v>142</v>
      </c>
    </row>
    <row r="22" spans="1:12" ht="26.1" customHeight="1" x14ac:dyDescent="0.2">
      <c r="A22" s="7" t="s">
        <v>143</v>
      </c>
      <c r="B22" s="8" t="s">
        <v>144</v>
      </c>
      <c r="C22" s="7" t="s">
        <v>28</v>
      </c>
      <c r="D22" s="8" t="s">
        <v>145</v>
      </c>
      <c r="E22" s="8" t="s">
        <v>146</v>
      </c>
      <c r="F22" s="7">
        <f>100%</f>
        <v>1</v>
      </c>
      <c r="G22" s="7" t="s">
        <v>30</v>
      </c>
      <c r="H22" s="7" t="s">
        <v>41</v>
      </c>
      <c r="I22" s="9" t="s">
        <v>32</v>
      </c>
      <c r="J22" s="8" t="s">
        <v>147</v>
      </c>
      <c r="K22" s="7" t="s">
        <v>34</v>
      </c>
      <c r="L22" s="8" t="s">
        <v>148</v>
      </c>
    </row>
    <row r="23" spans="1:12" ht="26.1" customHeight="1" x14ac:dyDescent="0.2">
      <c r="A23" s="4" t="s">
        <v>149</v>
      </c>
      <c r="B23" s="5" t="s">
        <v>150</v>
      </c>
      <c r="C23" s="4" t="s">
        <v>28</v>
      </c>
      <c r="D23" s="5" t="s">
        <v>145</v>
      </c>
      <c r="E23" s="5" t="s">
        <v>151</v>
      </c>
      <c r="F23" s="4">
        <f>100%</f>
        <v>1</v>
      </c>
      <c r="G23" s="4" t="s">
        <v>70</v>
      </c>
      <c r="H23" s="4" t="s">
        <v>152</v>
      </c>
      <c r="I23" s="9" t="s">
        <v>32</v>
      </c>
      <c r="J23" s="5" t="s">
        <v>153</v>
      </c>
      <c r="K23" s="4" t="s">
        <v>154</v>
      </c>
      <c r="L23" s="5" t="s">
        <v>155</v>
      </c>
    </row>
    <row r="24" spans="1:12" ht="26.1" customHeight="1" x14ac:dyDescent="0.2">
      <c r="A24" s="7" t="s">
        <v>156</v>
      </c>
      <c r="B24" s="8" t="s">
        <v>157</v>
      </c>
      <c r="C24" s="7" t="s">
        <v>28</v>
      </c>
      <c r="D24" s="8" t="s">
        <v>145</v>
      </c>
      <c r="E24" s="8" t="s">
        <v>158</v>
      </c>
      <c r="F24" s="7" t="s">
        <v>159</v>
      </c>
      <c r="G24" s="7" t="s">
        <v>30</v>
      </c>
      <c r="H24" s="7" t="s">
        <v>160</v>
      </c>
      <c r="I24" s="6" t="s">
        <v>22</v>
      </c>
      <c r="J24" s="8" t="s">
        <v>161</v>
      </c>
      <c r="K24" s="7" t="s">
        <v>34</v>
      </c>
      <c r="L24" s="8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 KPI &amp; KRI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2026-09-07T11:21:46Z</dcterms:created>
  <dcterms:modified xsi:type="dcterms:W3CDTF">2026-09-07T11:21:46Z</dcterms:modified>
</cp:coreProperties>
</file>