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10C5246-4C00-7540-9543-99A97AC0C3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wareness Metric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<sst xmlns="http://schemas.openxmlformats.org/spreadsheetml/2006/main" count="82" uniqueCount="70">
  <si>
    <t>Enterprise Security Awareness &amp; Training Metrics Dashboard (FY2026 Q1)</t>
  </si>
  <si>
    <t>Key performance indicators tracking compliance, behavioral change, culture strength, and organizational risk reduction.</t>
  </si>
  <si>
    <t>Metric ID</t>
  </si>
  <si>
    <t>Metric Name</t>
  </si>
  <si>
    <t>Category</t>
  </si>
  <si>
    <t>Current Value</t>
  </si>
  <si>
    <t>Target</t>
  </si>
  <si>
    <t>Status</t>
  </si>
  <si>
    <t>Trend vs Prior</t>
  </si>
  <si>
    <t>Action Owner</t>
  </si>
  <si>
    <t>Description / Notes</t>
  </si>
  <si>
    <t>MET-01</t>
  </si>
  <si>
    <t>Training Completion Rate</t>
  </si>
  <si>
    <t>Compliance</t>
  </si>
  <si>
    <t>On Track</t>
  </si>
  <si>
    <t>▲ +3.2%</t>
  </si>
  <si>
    <t>Security Awareness Lead</t>
  </si>
  <si>
    <t>Percentage of active employees who completed assigned mandatory modules.</t>
  </si>
  <si>
    <t>MET-02</t>
  </si>
  <si>
    <t>Assessment Pass Rate</t>
  </si>
  <si>
    <t>Effectiveness</t>
  </si>
  <si>
    <t>Exceeding</t>
  </si>
  <si>
    <t>▲ +1.5%</t>
  </si>
  <si>
    <t>Training Coordinator</t>
  </si>
  <si>
    <t>First-attempt pass rate on end-of-module security quizzes.</t>
  </si>
  <si>
    <t>MET-03</t>
  </si>
  <si>
    <t>Phishing Click Rate</t>
  </si>
  <si>
    <t>Behavioral</t>
  </si>
  <si>
    <t>▼ -0.8%</t>
  </si>
  <si>
    <t>SOC / Red Team</t>
  </si>
  <si>
    <t>Percentage of employees who clicked on simulated phishing test emails.</t>
  </si>
  <si>
    <t>MET-04</t>
  </si>
  <si>
    <t>Phishing Reporting Rate</t>
  </si>
  <si>
    <t>▲ +5.4%</t>
  </si>
  <si>
    <t>SOC Manager</t>
  </si>
  <si>
    <t>Percentage of simulated phishing emails reported via the 'PhishAlarm' button.</t>
  </si>
  <si>
    <t>MET-05</t>
  </si>
  <si>
    <t>Repeat Offender Rate</t>
  </si>
  <si>
    <t>Risk Reduction</t>
  </si>
  <si>
    <t>Needs Attention</t>
  </si>
  <si>
    <t>▼ -0.2%</t>
  </si>
  <si>
    <t>Employees failing 2+ consecutive phishing simulations or modules.</t>
  </si>
  <si>
    <t>MET-06</t>
  </si>
  <si>
    <t>Incident Reporting Rate</t>
  </si>
  <si>
    <t>Culture</t>
  </si>
  <si>
    <t>▲ +12.0%</t>
  </si>
  <si>
    <t>Incident Response Team</t>
  </si>
  <si>
    <t>Security incidents reported per 100 employees per quarter.</t>
  </si>
  <si>
    <t>MET-07</t>
  </si>
  <si>
    <t>Overdue Training Volume</t>
  </si>
  <si>
    <t>▲ +4</t>
  </si>
  <si>
    <t>HR Business Partners</t>
  </si>
  <si>
    <t>Total number of past-due compliance training assignments across all departments.</t>
  </si>
  <si>
    <t>MET-08</t>
  </si>
  <si>
    <t>Department Performance Variance</t>
  </si>
  <si>
    <t>Governance</t>
  </si>
  <si>
    <t>▲ +0.02</t>
  </si>
  <si>
    <t>Compliance Officer</t>
  </si>
  <si>
    <t>Standard deviation of completion rates across business units (lower is better).</t>
  </si>
  <si>
    <t>MET-09</t>
  </si>
  <si>
    <t>Risk Trend Index</t>
  </si>
  <si>
    <t>▲ +5 pts</t>
  </si>
  <si>
    <t>Risk Management</t>
  </si>
  <si>
    <t>Aggregated organizational risk score based on simulation failures and audit findings.</t>
  </si>
  <si>
    <t>MET-10</t>
  </si>
  <si>
    <t>Awareness Improvement Score</t>
  </si>
  <si>
    <t>▲ +7.0%</t>
  </si>
  <si>
    <t>Internal Communications</t>
  </si>
  <si>
    <t>Post-training survey index measuring confidence in identifying security threats.</t>
  </si>
  <si>
    <t>Total Tracked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</si>
</sst>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E6655"/>
      <name val="Segoe UI"/>
    </font>
    <font>
      <b/>
      <sz val="10"/>
      <color rgb="FF1E8449"/>
      <name val="Segoe UI"/>
    </font>
    <font>
      <b/>
      <sz val="10"/>
      <color rgb="FF922B21"/>
      <name val="Segoe UI"/>
    </font>
    <font>
      <b/>
      <sz val="10"/>
      <color rgb="FF595959"/>
      <name val="Segoe UI"/>
    </font>
    <font>
      <b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E8F8F5"/>
        <bgColor rgb="FFE8F8F5"/>
      </patternFill>
    </fill>
    <fill>
      <patternFill patternType="solid">
        <fgColor rgb="FFF9FAFB"/>
        <bgColor rgb="FFF9FAFB"/>
      </patternFill>
    </fill>
    <fill>
      <patternFill patternType="solid">
        <fgColor rgb="FFEAFAF1"/>
        <bgColor rgb="FFEAFAF1"/>
      </patternFill>
    </fill>
    <fill>
      <patternFill patternType="solid">
        <fgColor rgb="FFFADBD8"/>
        <bgColor rgb="FFFADBD8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164" fontId="4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indent="1"/>
    </xf>
    <xf numFmtId="164" fontId="4" fillId="7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B1" workbookViewId="0">
      <pane ySplit="4" topLeftCell="B5" activePane="bottomLeft" state="frozen"/>
      <selection activeCell="B1" sqref="B1"/>
      <selection pane="bottomLeft"/>
    </sheetView>
  </sheetViews>
  <sheetFormatPr defaultRowHeight="15" x14ac:dyDescent="0.2"/>
  <cols>
    <col min="1" max="1" width="13.98828125" customWidth="1"/>
    <col min="2" max="2" width="29.99609375" customWidth="1"/>
    <col min="3" max="3" width="20.04296875" customWidth="1"/>
    <col min="4" max="4" width="16.0078125" customWidth="1"/>
    <col min="5" max="5" width="13.98828125" customWidth="1"/>
    <col min="6" max="6" width="20.04296875" customWidth="1"/>
    <col min="7" max="7" width="18.0234375" customWidth="1"/>
    <col min="8" max="8" width="25.9609375" customWidth="1"/>
    <col min="9" max="9" width="50.04296875" customWidth="1"/>
  </cols>
  <sheetData>
    <row r="1" spans="1:9" ht="45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.100000000000001" customHeight="1" x14ac:dyDescent="0.2">
      <c r="A2" s="25" t="s">
        <v>1</v>
      </c>
      <c r="B2" s="24"/>
      <c r="C2" s="24"/>
      <c r="D2" s="24"/>
      <c r="E2" s="24"/>
      <c r="F2" s="24"/>
      <c r="G2" s="24"/>
      <c r="H2" s="24"/>
      <c r="I2" s="24"/>
    </row>
    <row r="3" spans="1:9" ht="9.9499999999999993" customHeight="1" x14ac:dyDescent="0.2"/>
    <row r="4" spans="1:9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6.1" customHeight="1" x14ac:dyDescent="0.2">
      <c r="A5" s="2" t="s">
        <v>11</v>
      </c>
      <c r="B5" s="3" t="s">
        <v>12</v>
      </c>
      <c r="C5" s="3" t="s">
        <v>13</v>
      </c>
      <c r="D5" s="4">
        <v>0.94</v>
      </c>
      <c r="E5" s="4">
        <v>0.95</v>
      </c>
      <c r="F5" s="5" t="s">
        <v>14</v>
      </c>
      <c r="G5" s="6" t="s">
        <v>15</v>
      </c>
      <c r="H5" s="7" t="s">
        <v>16</v>
      </c>
      <c r="I5" s="7" t="s">
        <v>17</v>
      </c>
    </row>
    <row r="6" spans="1:9" ht="26.1" customHeight="1" x14ac:dyDescent="0.2">
      <c r="A6" s="8" t="s">
        <v>18</v>
      </c>
      <c r="B6" s="9" t="s">
        <v>19</v>
      </c>
      <c r="C6" s="9" t="s">
        <v>20</v>
      </c>
      <c r="D6" s="10">
        <v>0.88</v>
      </c>
      <c r="E6" s="10">
        <v>0.85</v>
      </c>
      <c r="F6" s="11" t="s">
        <v>21</v>
      </c>
      <c r="G6" s="12" t="s">
        <v>22</v>
      </c>
      <c r="H6" s="13" t="s">
        <v>23</v>
      </c>
      <c r="I6" s="13" t="s">
        <v>24</v>
      </c>
    </row>
    <row r="7" spans="1:9" ht="26.1" customHeight="1" x14ac:dyDescent="0.2">
      <c r="A7" s="2" t="s">
        <v>25</v>
      </c>
      <c r="B7" s="3" t="s">
        <v>26</v>
      </c>
      <c r="C7" s="3" t="s">
        <v>27</v>
      </c>
      <c r="D7" s="4">
        <v>2.4E-2</v>
      </c>
      <c r="E7" s="4">
        <v>0.03</v>
      </c>
      <c r="F7" s="5" t="s">
        <v>14</v>
      </c>
      <c r="G7" s="6" t="s">
        <v>28</v>
      </c>
      <c r="H7" s="7" t="s">
        <v>29</v>
      </c>
      <c r="I7" s="7" t="s">
        <v>30</v>
      </c>
    </row>
    <row r="8" spans="1:9" ht="26.1" customHeight="1" x14ac:dyDescent="0.2">
      <c r="A8" s="8" t="s">
        <v>31</v>
      </c>
      <c r="B8" s="9" t="s">
        <v>32</v>
      </c>
      <c r="C8" s="9" t="s">
        <v>27</v>
      </c>
      <c r="D8" s="10">
        <v>0.72</v>
      </c>
      <c r="E8" s="10">
        <v>0.65</v>
      </c>
      <c r="F8" s="11" t="s">
        <v>21</v>
      </c>
      <c r="G8" s="12" t="s">
        <v>33</v>
      </c>
      <c r="H8" s="13" t="s">
        <v>34</v>
      </c>
      <c r="I8" s="13" t="s">
        <v>35</v>
      </c>
    </row>
    <row r="9" spans="1:9" ht="26.1" customHeight="1" x14ac:dyDescent="0.2">
      <c r="A9" s="2" t="s">
        <v>36</v>
      </c>
      <c r="B9" s="3" t="s">
        <v>37</v>
      </c>
      <c r="C9" s="3" t="s">
        <v>38</v>
      </c>
      <c r="D9" s="4">
        <v>3.5000000000000003E-2</v>
      </c>
      <c r="E9" s="4">
        <v>0.02</v>
      </c>
      <c r="F9" s="14" t="s">
        <v>39</v>
      </c>
      <c r="G9" s="15" t="s">
        <v>40</v>
      </c>
      <c r="H9" s="7" t="s">
        <v>16</v>
      </c>
      <c r="I9" s="7" t="s">
        <v>41</v>
      </c>
    </row>
    <row r="10" spans="1:9" ht="26.1" customHeight="1" x14ac:dyDescent="0.2">
      <c r="A10" s="8" t="s">
        <v>42</v>
      </c>
      <c r="B10" s="9" t="s">
        <v>43</v>
      </c>
      <c r="C10" s="9" t="s">
        <v>44</v>
      </c>
      <c r="D10" s="16">
        <v>4.2</v>
      </c>
      <c r="E10" s="16">
        <v>3.5</v>
      </c>
      <c r="F10" s="11" t="s">
        <v>21</v>
      </c>
      <c r="G10" s="12" t="s">
        <v>45</v>
      </c>
      <c r="H10" s="13" t="s">
        <v>46</v>
      </c>
      <c r="I10" s="13" t="s">
        <v>47</v>
      </c>
    </row>
    <row r="11" spans="1:9" ht="26.1" customHeight="1" x14ac:dyDescent="0.2">
      <c r="A11" s="2" t="s">
        <v>48</v>
      </c>
      <c r="B11" s="3" t="s">
        <v>49</v>
      </c>
      <c r="C11" s="3" t="s">
        <v>13</v>
      </c>
      <c r="D11" s="17">
        <v>18</v>
      </c>
      <c r="E11" s="17">
        <v>0</v>
      </c>
      <c r="F11" s="14" t="s">
        <v>39</v>
      </c>
      <c r="G11" s="18" t="s">
        <v>50</v>
      </c>
      <c r="H11" s="7" t="s">
        <v>51</v>
      </c>
      <c r="I11" s="7" t="s">
        <v>52</v>
      </c>
    </row>
    <row r="12" spans="1:9" ht="26.1" customHeight="1" x14ac:dyDescent="0.2">
      <c r="A12" s="8" t="s">
        <v>53</v>
      </c>
      <c r="B12" s="9" t="s">
        <v>54</v>
      </c>
      <c r="C12" s="9" t="s">
        <v>55</v>
      </c>
      <c r="D12" s="10">
        <v>0.14000000000000001</v>
      </c>
      <c r="E12" s="10">
        <v>0.1</v>
      </c>
      <c r="F12" s="14" t="s">
        <v>39</v>
      </c>
      <c r="G12" s="19" t="s">
        <v>56</v>
      </c>
      <c r="H12" s="13" t="s">
        <v>57</v>
      </c>
      <c r="I12" s="13" t="s">
        <v>58</v>
      </c>
    </row>
    <row r="13" spans="1:9" ht="26.1" customHeight="1" x14ac:dyDescent="0.2">
      <c r="A13" s="2" t="s">
        <v>59</v>
      </c>
      <c r="B13" s="3" t="s">
        <v>60</v>
      </c>
      <c r="C13" s="3" t="s">
        <v>38</v>
      </c>
      <c r="D13" s="4">
        <v>62</v>
      </c>
      <c r="E13" s="4">
        <v>50</v>
      </c>
      <c r="F13" s="14" t="s">
        <v>39</v>
      </c>
      <c r="G13" s="18" t="s">
        <v>61</v>
      </c>
      <c r="H13" s="7" t="s">
        <v>62</v>
      </c>
      <c r="I13" s="7" t="s">
        <v>63</v>
      </c>
    </row>
    <row r="14" spans="1:9" ht="26.1" customHeight="1" x14ac:dyDescent="0.2">
      <c r="A14" s="8" t="s">
        <v>64</v>
      </c>
      <c r="B14" s="9" t="s">
        <v>65</v>
      </c>
      <c r="C14" s="9" t="s">
        <v>44</v>
      </c>
      <c r="D14" s="10">
        <v>0.82</v>
      </c>
      <c r="E14" s="10">
        <v>0.75</v>
      </c>
      <c r="F14" s="11" t="s">
        <v>21</v>
      </c>
      <c r="G14" s="12" t="s">
        <v>66</v>
      </c>
      <c r="H14" s="13" t="s">
        <v>67</v>
      </c>
      <c r="I14" s="13" t="s">
        <v>68</v>
      </c>
    </row>
    <row r="16" spans="1:9" ht="24" customHeight="1" x14ac:dyDescent="0.2">
      <c r="A16" s="20" t="s">
        <v>69</v>
      </c>
      <c r="B16" s="21">
        <f>COUNTA(A5:A14)</f>
        <v>10</v>
      </c>
      <c r="C16" s="22"/>
      <c r="D16" s="22"/>
      <c r="E16" s="22"/>
      <c r="F16" s="22"/>
      <c r="G16" s="22"/>
      <c r="H16" s="22"/>
      <c r="I16" s="22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Awareness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2026-09-08T10:08:08Z</dcterms:created>
  <dcterms:modified xsi:type="dcterms:W3CDTF">2026-09-08T10:08:08Z</dcterms:modified>
</cp:coreProperties>
</file>