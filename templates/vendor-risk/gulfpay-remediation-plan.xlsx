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mediation Plan" sheetId="1" state="visible" r:id="rId3"/>
    <sheet name="Summary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<sst xmlns="http://schemas.openxmlformats.org/spreadsheetml/2006/main" count="186" uniqueCount="116">
  <si>
    <t xml:space="preserve">GULFPAY — VENDOR RISK TREATMENT / REMEDIATION PLAN</t>
  </si>
  <si>
    <t xml:space="preserve">Actions arising from the inherent risk assessment, security questionnaire, and evidence review. Track to closure and re-evaluate residual risk.</t>
  </si>
  <si>
    <t xml:space="preserve">Vendor:</t>
  </si>
  <si>
    <t xml:space="preserve">GulfPay FZ-LLC</t>
  </si>
  <si>
    <t xml:space="preserve">Service:</t>
  </si>
  <si>
    <t xml:space="preserve">Payment processing &amp; wallet services</t>
  </si>
  <si>
    <t xml:space="preserve">Assessment Date:</t>
  </si>
  <si>
    <t xml:space="preserve">Plan Owner:</t>
  </si>
  <si>
    <t xml:space="preserve">Vendor Risk Team</t>
  </si>
  <si>
    <t xml:space="preserve">Inherent Risk Rating:</t>
  </si>
  <si>
    <t xml:space="preserve">High</t>
  </si>
  <si>
    <t xml:space="preserve">Target Residual Risk:</t>
  </si>
  <si>
    <t xml:space="preserve">Medium or below</t>
  </si>
  <si>
    <t xml:space="preserve">Next Review:</t>
  </si>
  <si>
    <t xml:space="preserve">Status Summary:</t>
  </si>
  <si>
    <t xml:space="preserve">In Progress</t>
  </si>
  <si>
    <t xml:space="preserve">Finding</t>
  </si>
  <si>
    <t xml:space="preserve">Action</t>
  </si>
  <si>
    <t xml:space="preserve">Owner</t>
  </si>
  <si>
    <t xml:space="preserve">Priority</t>
  </si>
  <si>
    <t xml:space="preserve">Target Date</t>
  </si>
  <si>
    <t xml:space="preserve">Evidence Required</t>
  </si>
  <si>
    <t xml:space="preserve">Status</t>
  </si>
  <si>
    <t xml:space="preserve">Residual Risk</t>
  </si>
  <si>
    <t xml:space="preserve">F-01: Multi-factor authentication is not enforced for all privileged and remote administrative accounts supporting the payment platform.</t>
  </si>
  <si>
    <t xml:space="preserve">Enforce MFA (preferably phishing-resistant) on all privileged, administrative, and remote access paths to systems that process or store payment and customer data. Provide configuration evidence and policy extract.</t>
  </si>
  <si>
    <t xml:space="preserve">GulfPay – CISO / IAM Lead</t>
  </si>
  <si>
    <t xml:space="preserve">Critical</t>
  </si>
  <si>
    <t xml:space="preserve">MFA policy + configuration screenshots / export for admin &amp; remote access; exception list (if any) with compensating controls</t>
  </si>
  <si>
    <t xml:space="preserve">Open</t>
  </si>
  <si>
    <t xml:space="preserve">F-02: No current SOC 2 Type II (or equivalent independent assurance report) covering Security and Availability for the payment services in scope.</t>
  </si>
  <si>
    <t xml:space="preserve">Commission or provide a current SOC 2 Type II (or ISO 27001 certificate + Statement of Applicability + recent internal audit summary) covering the services used. Share report under NDA.</t>
  </si>
  <si>
    <t xml:space="preserve">GulfPay – Compliance Lead</t>
  </si>
  <si>
    <t xml:space="preserve">SOC 2 Type II report (or ISO 27001 cert + SoA) with period end within last 12 months; bridge letter if needed</t>
  </si>
  <si>
    <t xml:space="preserve">Medium</t>
  </si>
  <si>
    <t xml:space="preserve">F-03: Annual independent penetration test results for the customer-facing and API payment channels were not provided or are older than 12 months.</t>
  </si>
  <si>
    <t xml:space="preserve">Engage an independent third party to perform penetration testing of internet-facing applications and APIs in scope. Remediate Critical/High findings and supply executive summary + remediation status.</t>
  </si>
  <si>
    <t xml:space="preserve">GulfPay – Security Engineering</t>
  </si>
  <si>
    <t xml:space="preserve">Pen test executive summary, scope, date, and confirmation that Critical/High items are closed or have agreed compensating controls</t>
  </si>
  <si>
    <t xml:space="preserve">F-04: Privileged access reviews are performed ad-hoc; no formal recertification evidence for the last 12 months.</t>
  </si>
  <si>
    <t xml:space="preserve">Implement formal privileged access recertification at least quarterly. Provide latest completed review pack (list of accounts, reviewers, decisions, and closure of excess access).</t>
  </si>
  <si>
    <t xml:space="preserve">GulfPay – IAM Lead</t>
  </si>
  <si>
    <t xml:space="preserve">Completed privileged access review evidence (dated within last 90 days) including sign-off</t>
  </si>
  <si>
    <t xml:space="preserve">F-05: Sub-processor list is incomplete and change-notification process is not contractually defined for GulfPay’s downstream providers.</t>
  </si>
  <si>
    <t xml:space="preserve">Publish a complete, current sub-processor list (name, location, purpose) and formalize advance notification of material changes (minimum 30 days) in the DPA / contract schedule.</t>
  </si>
  <si>
    <t xml:space="preserve">GulfPay – Privacy / Legal</t>
  </si>
  <si>
    <t xml:space="preserve">Current sub-processor schedule + contractual clause (or amendment) for notification of changes</t>
  </si>
  <si>
    <t xml:space="preserve">F-06: Encryption in transit for some internal service-to-service payment data flows uses TLS 1.1 or is not explicitly mandated to TLS 1.2+.</t>
  </si>
  <si>
    <t xml:space="preserve">Enforce TLS 1.2 or higher (prefer TLS 1.3) for all external and internal payment-related data in transit. Disable weak protocols/ciphers. Provide standards document and sample configuration evidence.</t>
  </si>
  <si>
    <t xml:space="preserve">GulfPay – Security Architecture</t>
  </si>
  <si>
    <t xml:space="preserve">Encryption standard / policy extract + configuration evidence confirming TLS 1.2+ only</t>
  </si>
  <si>
    <t xml:space="preserve">Low</t>
  </si>
  <si>
    <t xml:space="preserve">F-07: Disaster recovery (DR) test for the primary payment processing environment has not been evidenced within the last 12 months.</t>
  </si>
  <si>
    <t xml:space="preserve">Conduct a DR test (tabletop or technical failover) against defined RTO/RPO for critical payment services. Document results, gaps, and remediation actions.</t>
  </si>
  <si>
    <t xml:space="preserve">GulfPay – Infrastructure / BCP Lead</t>
  </si>
  <si>
    <t xml:space="preserve">DR test report including date, scope, RTO/RPO achieved, and open actions</t>
  </si>
  <si>
    <t xml:space="preserve">F-08: Incident response plan does not explicitly define customer notification timelines aligned to contractual and regulatory requirements (e.g., 72 hours for personal data breaches).</t>
  </si>
  <si>
    <t xml:space="preserve">Update IRP to include clear customer and regulator notification triggers and timelines. Align with contract and applicable privacy/payment regulations. Provide revised plan excerpt.</t>
  </si>
  <si>
    <t xml:space="preserve">GulfPay – Incident Response Lead</t>
  </si>
  <si>
    <t xml:space="preserve">Updated IRP section on external notification (customers / regulators) with timelines</t>
  </si>
  <si>
    <t xml:space="preserve">F-09: Vulnerability management SLAs for Critical findings are not documented; sample evidence shows remediation beyond 30 days in two cases.</t>
  </si>
  <si>
    <t xml:space="preserve">Document and implement patch/vulnerability SLAs (e.g., Critical ≤ 15–30 days). Provide policy extract and latest Critical/High ageing report demonstrating adherence.</t>
  </si>
  <si>
    <t xml:space="preserve">GulfPay – Vulnerability Management</t>
  </si>
  <si>
    <t xml:space="preserve">Vulnerability / patch management policy with SLAs + recent ageing report for Critical/High items</t>
  </si>
  <si>
    <t xml:space="preserve">F-10: No formal evidence of secure data deletion / media sanitization procedures for customer payment data at end of retention or contract termination.</t>
  </si>
  <si>
    <t xml:space="preserve">Document secure deletion and media sanitization procedures (aligned to NIST or equivalent). Confirm ability to issue certificate of destruction on request at offboarding.</t>
  </si>
  <si>
    <t xml:space="preserve">GulfPay – Data Governance / Security</t>
  </si>
  <si>
    <t xml:space="preserve">Data deletion / media sanitization procedure + sample certificate of destruction template</t>
  </si>
  <si>
    <t xml:space="preserve">F-11: Security awareness training completion for staff with access to payment systems is not evidenced for the current annual cycle.</t>
  </si>
  <si>
    <t xml:space="preserve">Complete mandatory security awareness (and role-based) training for all relevant staff. Provide completion metrics and confirmation for personnel supporting the services in scope.</t>
  </si>
  <si>
    <t xml:space="preserve">GulfPay – HR / Security Awareness</t>
  </si>
  <si>
    <t xml:space="preserve">Training completion report (rate and date) for staff in scope of payment services</t>
  </si>
  <si>
    <t xml:space="preserve">F-12: Joiner-mover-leaver (JML) process lacks evidence of timely access revocation on termination (sample showed &gt;24h in one case).</t>
  </si>
  <si>
    <t xml:space="preserve">Tighten JML controls so that access to payment systems is revoked on or before last working day (or within defined same-day SLA). Provide process description and recent termination samples.</t>
  </si>
  <si>
    <t xml:space="preserve">GulfPay – IAM / HR Ops</t>
  </si>
  <si>
    <t xml:space="preserve">JML procedure extract + anonymised sample of recent leaver access revocation timestamps</t>
  </si>
  <si>
    <t xml:space="preserve">F-13: Backup restore testing frequency is annual only; no evidence of more frequent restores for critical payment databases.</t>
  </si>
  <si>
    <t xml:space="preserve">Increase restore testing for critical payment data stores to at least quarterly. Document successful restore tests and retention of backup media in a separate location/region.</t>
  </si>
  <si>
    <t xml:space="preserve">GulfPay – Infrastructure</t>
  </si>
  <si>
    <t xml:space="preserve">Backup policy + latest restore test evidence for critical payment systems</t>
  </si>
  <si>
    <t xml:space="preserve">F-14: Contractual right to audit / security assessment is not clearly reflected in the current service agreement with GulfPay.</t>
  </si>
  <si>
    <t xml:space="preserve">Negotiate inclusion (or confirmation) of a reasonable audit / assessment clause and cooperation obligation for security questionnaires and evidence requests.</t>
  </si>
  <si>
    <t xml:space="preserve">Internal – Legal / Vendor Management (with GulfPay Legal)</t>
  </si>
  <si>
    <t xml:space="preserve">Executed contract amendment or side letter confirming audit / assessment rights</t>
  </si>
  <si>
    <t xml:space="preserve">Acceptable</t>
  </si>
  <si>
    <t xml:space="preserve">Priority / Status / Residual Risk Legend</t>
  </si>
  <si>
    <t xml:space="preserve">Closed</t>
  </si>
  <si>
    <t xml:space="preserve">Deferred</t>
  </si>
  <si>
    <t xml:space="preserve">GULFPAY REMEDIATION PLAN — SUMMARY</t>
  </si>
  <si>
    <t xml:space="preserve">By Priority</t>
  </si>
  <si>
    <t xml:space="preserve">Count</t>
  </si>
  <si>
    <t xml:space="preserve">By Status</t>
  </si>
  <si>
    <t xml:space="preserve">Total Findings</t>
  </si>
  <si>
    <t xml:space="preserve">Notes</t>
  </si>
  <si>
    <t xml:space="preserve">• Residual Risk is the expected risk level after the action is completed and evidence accepted.</t>
  </si>
  <si>
    <t xml:space="preserve">• Close a finding only when required evidence has been received and reviewed.</t>
  </si>
  <si>
    <t xml:space="preserve">• Re-score inherent/residual risk for GulfPay after Critical and High items are closed.</t>
  </si>
  <si>
    <t xml:space="preserve">• Escalate any Critical action that misses its Target Date to the Vendor Risk governance forum.</t>
  </si>
  <si>
    <t xml:space="preserve">GULFPAY REMEDIATION PLAN — GUIDANCE</t>
  </si>
  <si>
    <t xml:space="preserve">Purpose</t>
  </si>
  <si>
    <t xml:space="preserve">Track treatment actions for findings identified during the GulfPay vendor risk assessment (questionnaire, evidence review, and inherent risk scoring). Drive residual risk down to an acceptable level.</t>
  </si>
  <si>
    <t xml:space="preserve">Column definitions</t>
  </si>
  <si>
    <t xml:space="preserve">Concise statement of the gap or control weakness (reference ID F-xx).</t>
  </si>
  <si>
    <t xml:space="preserve">Specific, measurable remediation required of GulfPay (or internal teams where noted).</t>
  </si>
  <si>
    <t xml:space="preserve">Accountable party — usually a GulfPay role; internal owners noted where the action is contractual/legal.</t>
  </si>
  <si>
    <t xml:space="preserve">Critical / High / Medium / Low — based on likelihood and impact to payment services and data.</t>
  </si>
  <si>
    <t xml:space="preserve">Agreed date for completion and evidence delivery.</t>
  </si>
  <si>
    <t xml:space="preserve">Artifacts needed to demonstrate the action is complete and effective.</t>
  </si>
  <si>
    <t xml:space="preserve">Open | In Progress | Closed | Deferred.</t>
  </si>
  <si>
    <t xml:space="preserve">Expected risk rating after successful closure (Critical / High / Medium / Low / Acceptable).</t>
  </si>
  <si>
    <t xml:space="preserve">Workflow</t>
  </si>
  <si>
    <t xml:space="preserve">1. Agree actions and target dates with GulfPay; record in this plan.</t>
  </si>
  <si>
    <t xml:space="preserve">2. GulfPay delivers evidence against each action.</t>
  </si>
  <si>
    <t xml:space="preserve">3. Reviewer validates evidence; update Status to Closed and confirm Residual Risk.</t>
  </si>
  <si>
    <t xml:space="preserve">4. On closure of Critical/High items, update the overall vendor residual risk rating and monitoring plan.</t>
  </si>
  <si>
    <t xml:space="preserve">5. Report overdue Critical/High items to the vendor risk governance forum.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</si>
</sst>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1F4E79"/>
        <bgColor rgb="FF003366"/>
      </patternFill>
    </fill>
    <fill>
      <patternFill patternType="solid">
        <fgColor rgb="FFFF6B6B"/>
        <bgColor rgb="FFFF6600"/>
      </patternFill>
    </fill>
    <fill>
      <patternFill patternType="solid">
        <fgColor rgb="FFDDEBF7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6B6B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48"/>
    <col collapsed="false" customWidth="true" hidden="false" outlineLevel="0" max="3" min="3" style="1" width="28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38"/>
    <col collapsed="false" customWidth="true" hidden="false" outlineLevel="0" max="8" min="7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5" t="s">
        <v>3</v>
      </c>
      <c r="C4" s="4" t="s">
        <v>4</v>
      </c>
      <c r="D4" s="5" t="s">
        <v>5</v>
      </c>
      <c r="E4" s="4" t="s">
        <v>6</v>
      </c>
      <c r="F4" s="6" t="n">
        <v>46249</v>
      </c>
      <c r="G4" s="4" t="s">
        <v>7</v>
      </c>
      <c r="H4" s="5" t="s">
        <v>8</v>
      </c>
    </row>
    <row r="5" customFormat="false" ht="15" hidden="false" customHeight="true" outlineLevel="0" collapsed="false">
      <c r="A5" s="4" t="s">
        <v>9</v>
      </c>
      <c r="B5" s="7" t="s">
        <v>10</v>
      </c>
      <c r="C5" s="4" t="s">
        <v>11</v>
      </c>
      <c r="D5" s="8" t="s">
        <v>12</v>
      </c>
      <c r="E5" s="4" t="s">
        <v>13</v>
      </c>
      <c r="F5" s="9" t="n">
        <v>46341</v>
      </c>
      <c r="G5" s="4" t="s">
        <v>14</v>
      </c>
      <c r="H5" s="8" t="s">
        <v>15</v>
      </c>
    </row>
    <row r="7" customFormat="false" ht="21.75" hidden="false" customHeight="true" outlineLevel="0" collapsed="false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</row>
    <row r="8" customFormat="false" ht="57.75" hidden="false" customHeight="true" outlineLevel="0" collapsed="false">
      <c r="A8" s="11" t="s">
        <v>24</v>
      </c>
      <c r="B8" s="11" t="s">
        <v>25</v>
      </c>
      <c r="C8" s="12" t="s">
        <v>26</v>
      </c>
      <c r="D8" s="13" t="s">
        <v>27</v>
      </c>
      <c r="E8" s="14" t="n">
        <v>46295</v>
      </c>
      <c r="F8" s="11" t="s">
        <v>28</v>
      </c>
      <c r="G8" s="15" t="s">
        <v>29</v>
      </c>
      <c r="H8" s="16" t="s">
        <v>10</v>
      </c>
    </row>
    <row r="9" customFormat="false" ht="57.75" hidden="false" customHeight="true" outlineLevel="0" collapsed="false">
      <c r="A9" s="11" t="s">
        <v>30</v>
      </c>
      <c r="B9" s="11" t="s">
        <v>31</v>
      </c>
      <c r="C9" s="12" t="s">
        <v>32</v>
      </c>
      <c r="D9" s="16" t="s">
        <v>10</v>
      </c>
      <c r="E9" s="14" t="n">
        <v>46371</v>
      </c>
      <c r="F9" s="11" t="s">
        <v>33</v>
      </c>
      <c r="G9" s="17" t="s">
        <v>15</v>
      </c>
      <c r="H9" s="18" t="s">
        <v>34</v>
      </c>
    </row>
    <row r="10" customFormat="false" ht="57.75" hidden="false" customHeight="true" outlineLevel="0" collapsed="false">
      <c r="A10" s="11" t="s">
        <v>35</v>
      </c>
      <c r="B10" s="11" t="s">
        <v>36</v>
      </c>
      <c r="C10" s="12" t="s">
        <v>37</v>
      </c>
      <c r="D10" s="16" t="s">
        <v>10</v>
      </c>
      <c r="E10" s="14" t="n">
        <v>46326</v>
      </c>
      <c r="F10" s="11" t="s">
        <v>38</v>
      </c>
      <c r="G10" s="15" t="s">
        <v>29</v>
      </c>
      <c r="H10" s="18" t="s">
        <v>34</v>
      </c>
    </row>
    <row r="11" customFormat="false" ht="57.75" hidden="false" customHeight="true" outlineLevel="0" collapsed="false">
      <c r="A11" s="11" t="s">
        <v>39</v>
      </c>
      <c r="B11" s="11" t="s">
        <v>40</v>
      </c>
      <c r="C11" s="12" t="s">
        <v>41</v>
      </c>
      <c r="D11" s="16" t="s">
        <v>10</v>
      </c>
      <c r="E11" s="14" t="n">
        <v>46310</v>
      </c>
      <c r="F11" s="11" t="s">
        <v>42</v>
      </c>
      <c r="G11" s="15" t="s">
        <v>29</v>
      </c>
      <c r="H11" s="18" t="s">
        <v>34</v>
      </c>
    </row>
    <row r="12" customFormat="false" ht="57.75" hidden="false" customHeight="true" outlineLevel="0" collapsed="false">
      <c r="A12" s="11" t="s">
        <v>43</v>
      </c>
      <c r="B12" s="11" t="s">
        <v>44</v>
      </c>
      <c r="C12" s="12" t="s">
        <v>45</v>
      </c>
      <c r="D12" s="16" t="s">
        <v>10</v>
      </c>
      <c r="E12" s="14" t="n">
        <v>46295</v>
      </c>
      <c r="F12" s="11" t="s">
        <v>46</v>
      </c>
      <c r="G12" s="17" t="s">
        <v>15</v>
      </c>
      <c r="H12" s="18" t="s">
        <v>34</v>
      </c>
    </row>
    <row r="13" customFormat="false" ht="57.75" hidden="false" customHeight="true" outlineLevel="0" collapsed="false">
      <c r="A13" s="11" t="s">
        <v>47</v>
      </c>
      <c r="B13" s="11" t="s">
        <v>48</v>
      </c>
      <c r="C13" s="12" t="s">
        <v>49</v>
      </c>
      <c r="D13" s="16" t="s">
        <v>10</v>
      </c>
      <c r="E13" s="14" t="n">
        <v>46326</v>
      </c>
      <c r="F13" s="11" t="s">
        <v>50</v>
      </c>
      <c r="G13" s="15" t="s">
        <v>29</v>
      </c>
      <c r="H13" s="19" t="s">
        <v>51</v>
      </c>
    </row>
    <row r="14" customFormat="false" ht="57.75" hidden="false" customHeight="true" outlineLevel="0" collapsed="false">
      <c r="A14" s="11" t="s">
        <v>52</v>
      </c>
      <c r="B14" s="11" t="s">
        <v>53</v>
      </c>
      <c r="C14" s="12" t="s">
        <v>54</v>
      </c>
      <c r="D14" s="18" t="s">
        <v>34</v>
      </c>
      <c r="E14" s="14" t="n">
        <v>46356</v>
      </c>
      <c r="F14" s="11" t="s">
        <v>55</v>
      </c>
      <c r="G14" s="15" t="s">
        <v>29</v>
      </c>
      <c r="H14" s="18" t="s">
        <v>34</v>
      </c>
    </row>
    <row r="15" customFormat="false" ht="57.75" hidden="false" customHeight="true" outlineLevel="0" collapsed="false">
      <c r="A15" s="11" t="s">
        <v>56</v>
      </c>
      <c r="B15" s="11" t="s">
        <v>57</v>
      </c>
      <c r="C15" s="12" t="s">
        <v>58</v>
      </c>
      <c r="D15" s="18" t="s">
        <v>34</v>
      </c>
      <c r="E15" s="14" t="n">
        <v>46310</v>
      </c>
      <c r="F15" s="11" t="s">
        <v>59</v>
      </c>
      <c r="G15" s="17" t="s">
        <v>15</v>
      </c>
      <c r="H15" s="19" t="s">
        <v>51</v>
      </c>
    </row>
    <row r="16" customFormat="false" ht="57.75" hidden="false" customHeight="true" outlineLevel="0" collapsed="false">
      <c r="A16" s="11" t="s">
        <v>60</v>
      </c>
      <c r="B16" s="11" t="s">
        <v>61</v>
      </c>
      <c r="C16" s="12" t="s">
        <v>62</v>
      </c>
      <c r="D16" s="18" t="s">
        <v>34</v>
      </c>
      <c r="E16" s="14" t="n">
        <v>46326</v>
      </c>
      <c r="F16" s="11" t="s">
        <v>63</v>
      </c>
      <c r="G16" s="15" t="s">
        <v>29</v>
      </c>
      <c r="H16" s="19" t="s">
        <v>51</v>
      </c>
    </row>
    <row r="17" customFormat="false" ht="57.75" hidden="false" customHeight="true" outlineLevel="0" collapsed="false">
      <c r="A17" s="11" t="s">
        <v>64</v>
      </c>
      <c r="B17" s="11" t="s">
        <v>65</v>
      </c>
      <c r="C17" s="12" t="s">
        <v>66</v>
      </c>
      <c r="D17" s="18" t="s">
        <v>34</v>
      </c>
      <c r="E17" s="14" t="n">
        <v>46341</v>
      </c>
      <c r="F17" s="11" t="s">
        <v>67</v>
      </c>
      <c r="G17" s="15" t="s">
        <v>29</v>
      </c>
      <c r="H17" s="19" t="s">
        <v>51</v>
      </c>
    </row>
    <row r="18" customFormat="false" ht="57.75" hidden="false" customHeight="true" outlineLevel="0" collapsed="false">
      <c r="A18" s="11" t="s">
        <v>68</v>
      </c>
      <c r="B18" s="11" t="s">
        <v>69</v>
      </c>
      <c r="C18" s="12" t="s">
        <v>70</v>
      </c>
      <c r="D18" s="18" t="s">
        <v>34</v>
      </c>
      <c r="E18" s="14" t="n">
        <v>46295</v>
      </c>
      <c r="F18" s="11" t="s">
        <v>71</v>
      </c>
      <c r="G18" s="17" t="s">
        <v>15</v>
      </c>
      <c r="H18" s="19" t="s">
        <v>51</v>
      </c>
    </row>
    <row r="19" customFormat="false" ht="57.75" hidden="false" customHeight="true" outlineLevel="0" collapsed="false">
      <c r="A19" s="11" t="s">
        <v>72</v>
      </c>
      <c r="B19" s="11" t="s">
        <v>73</v>
      </c>
      <c r="C19" s="12" t="s">
        <v>74</v>
      </c>
      <c r="D19" s="18" t="s">
        <v>34</v>
      </c>
      <c r="E19" s="14" t="n">
        <v>46326</v>
      </c>
      <c r="F19" s="11" t="s">
        <v>75</v>
      </c>
      <c r="G19" s="15" t="s">
        <v>29</v>
      </c>
      <c r="H19" s="19" t="s">
        <v>51</v>
      </c>
    </row>
    <row r="20" customFormat="false" ht="57.75" hidden="false" customHeight="true" outlineLevel="0" collapsed="false">
      <c r="A20" s="11" t="s">
        <v>76</v>
      </c>
      <c r="B20" s="11" t="s">
        <v>77</v>
      </c>
      <c r="C20" s="12" t="s">
        <v>78</v>
      </c>
      <c r="D20" s="19" t="s">
        <v>51</v>
      </c>
      <c r="E20" s="14" t="n">
        <v>46356</v>
      </c>
      <c r="F20" s="11" t="s">
        <v>79</v>
      </c>
      <c r="G20" s="15" t="s">
        <v>29</v>
      </c>
      <c r="H20" s="19" t="s">
        <v>51</v>
      </c>
    </row>
    <row r="21" customFormat="false" ht="57.75" hidden="false" customHeight="true" outlineLevel="0" collapsed="false">
      <c r="A21" s="11" t="s">
        <v>80</v>
      </c>
      <c r="B21" s="11" t="s">
        <v>81</v>
      </c>
      <c r="C21" s="12" t="s">
        <v>82</v>
      </c>
      <c r="D21" s="19" t="s">
        <v>51</v>
      </c>
      <c r="E21" s="14" t="n">
        <v>46387</v>
      </c>
      <c r="F21" s="11" t="s">
        <v>83</v>
      </c>
      <c r="G21" s="15" t="s">
        <v>29</v>
      </c>
      <c r="H21" s="19" t="s">
        <v>84</v>
      </c>
    </row>
    <row r="22" customFormat="false" ht="30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</row>
    <row r="23" customFormat="false" ht="30" hidden="false" customHeight="true" outlineLevel="0" collapsed="false">
      <c r="A23" s="20"/>
      <c r="B23" s="20"/>
      <c r="C23" s="20"/>
      <c r="D23" s="20"/>
      <c r="E23" s="20"/>
      <c r="F23" s="20"/>
      <c r="G23" s="20"/>
      <c r="H23" s="20"/>
    </row>
    <row r="24" customFormat="false" ht="30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</row>
    <row r="26" customFormat="false" ht="15" hidden="false" customHeight="true" outlineLevel="0" collapsed="false">
      <c r="A26" s="21" t="s">
        <v>85</v>
      </c>
      <c r="B26" s="21"/>
      <c r="C26" s="21"/>
      <c r="D26" s="21"/>
    </row>
    <row r="27" customFormat="false" ht="15" hidden="false" customHeight="true" outlineLevel="0" collapsed="false">
      <c r="A27" s="22" t="s">
        <v>19</v>
      </c>
      <c r="B27" s="13" t="s">
        <v>27</v>
      </c>
      <c r="C27" s="16" t="s">
        <v>10</v>
      </c>
      <c r="D27" s="18" t="s">
        <v>34</v>
      </c>
      <c r="E27" s="19" t="s">
        <v>51</v>
      </c>
    </row>
    <row r="28" customFormat="false" ht="15" hidden="false" customHeight="true" outlineLevel="0" collapsed="false">
      <c r="A28" s="22" t="s">
        <v>22</v>
      </c>
      <c r="B28" s="15" t="s">
        <v>29</v>
      </c>
      <c r="C28" s="17" t="s">
        <v>15</v>
      </c>
      <c r="D28" s="19" t="s">
        <v>86</v>
      </c>
      <c r="E28" s="23" t="s">
        <v>87</v>
      </c>
    </row>
    <row r="29" customFormat="false" ht="15" hidden="false" customHeight="true" outlineLevel="0" collapsed="false">
      <c r="A29" s="22" t="s">
        <v>23</v>
      </c>
      <c r="B29" s="13" t="s">
        <v>27</v>
      </c>
      <c r="C29" s="16" t="s">
        <v>10</v>
      </c>
      <c r="D29" s="18" t="s">
        <v>34</v>
      </c>
      <c r="E29" s="19" t="s">
        <v>51</v>
      </c>
      <c r="F29" s="19" t="s">
        <v>84</v>
      </c>
    </row>
  </sheetData>
  <mergeCells count="3">
    <mergeCell ref="A1:H1"/>
    <mergeCell ref="A2:H2"/>
    <mergeCell ref="A26:D26"/>
  </mergeCells>
  <dataValidations count="3">
    <dataValidation allowBlank="true" errorStyle="stop" operator="between" showDropDown="false" showErrorMessage="false" showInputMessage="false" sqref="D8:D31" type="list">
      <formula1>"Critical,High,Medium,Low"</formula1>
      <formula2>0</formula2>
    </dataValidation>
    <dataValidation allowBlank="true" errorStyle="stop" operator="between" showDropDown="false" showErrorMessage="false" showInputMessage="false" sqref="G8:G31" type="list">
      <formula1>"Open,In Progress,Closed,Deferred"</formula1>
      <formula2>0</formula2>
    </dataValidation>
    <dataValidation allowBlank="true" errorStyle="stop" operator="between" showDropDown="false" showErrorMessage="false" showInputMessage="false" sqref="H8:H31" type="list">
      <formula1>"Critical,High,Medium,Low,Acceptable"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4" min="3" style="1" width="20"/>
  </cols>
  <sheetData>
    <row r="1" customFormat="false" ht="19.5" hidden="false" customHeight="true" outlineLevel="0" collapsed="false">
      <c r="A1" s="24" t="s">
        <v>88</v>
      </c>
      <c r="B1" s="24"/>
      <c r="C1" s="24"/>
      <c r="D1" s="24"/>
    </row>
    <row r="3" customFormat="false" ht="15" hidden="false" customHeight="true" outlineLevel="0" collapsed="false">
      <c r="A3" s="25" t="s">
        <v>89</v>
      </c>
    </row>
    <row r="4" customFormat="false" ht="15" hidden="false" customHeight="true" outlineLevel="0" collapsed="false">
      <c r="A4" s="10" t="s">
        <v>19</v>
      </c>
      <c r="B4" s="10" t="s">
        <v>90</v>
      </c>
    </row>
    <row r="5" customFormat="false" ht="15" hidden="false" customHeight="true" outlineLevel="0" collapsed="false">
      <c r="A5" s="26" t="s">
        <v>27</v>
      </c>
      <c r="B5" s="12" t="n">
        <f aca="false">COUNTIF('Remediation Plan'!D8:D25,A5)</f>
        <v>1</v>
      </c>
    </row>
    <row r="6" customFormat="false" ht="15" hidden="false" customHeight="true" outlineLevel="0" collapsed="false">
      <c r="A6" s="27" t="s">
        <v>10</v>
      </c>
      <c r="B6" s="12" t="n">
        <f aca="false">COUNTIF('Remediation Plan'!D8:D25,A6)</f>
        <v>5</v>
      </c>
    </row>
    <row r="7" customFormat="false" ht="15" hidden="false" customHeight="true" outlineLevel="0" collapsed="false">
      <c r="A7" s="28" t="s">
        <v>34</v>
      </c>
      <c r="B7" s="12" t="n">
        <f aca="false">COUNTIF('Remediation Plan'!D8:D25,A7)</f>
        <v>6</v>
      </c>
    </row>
    <row r="8" customFormat="false" ht="15" hidden="false" customHeight="true" outlineLevel="0" collapsed="false">
      <c r="A8" s="29" t="s">
        <v>51</v>
      </c>
      <c r="B8" s="12" t="n">
        <f aca="false">COUNTIF('Remediation Plan'!D8:D25,A8)</f>
        <v>2</v>
      </c>
    </row>
    <row r="10" customFormat="false" ht="15" hidden="false" customHeight="true" outlineLevel="0" collapsed="false">
      <c r="A10" s="25" t="s">
        <v>91</v>
      </c>
    </row>
    <row r="11" customFormat="false" ht="15" hidden="false" customHeight="true" outlineLevel="0" collapsed="false">
      <c r="A11" s="10" t="s">
        <v>22</v>
      </c>
      <c r="B11" s="10" t="s">
        <v>90</v>
      </c>
    </row>
    <row r="12" customFormat="false" ht="15" hidden="false" customHeight="true" outlineLevel="0" collapsed="false">
      <c r="A12" s="30" t="s">
        <v>29</v>
      </c>
      <c r="B12" s="12" t="n">
        <f aca="false">COUNTIF('Remediation Plan'!G8:G25,A12)</f>
        <v>10</v>
      </c>
    </row>
    <row r="13" customFormat="false" ht="15" hidden="false" customHeight="true" outlineLevel="0" collapsed="false">
      <c r="A13" s="31" t="s">
        <v>15</v>
      </c>
      <c r="B13" s="12" t="n">
        <f aca="false">COUNTIF('Remediation Plan'!G8:G25,A13)</f>
        <v>4</v>
      </c>
    </row>
    <row r="14" customFormat="false" ht="15" hidden="false" customHeight="true" outlineLevel="0" collapsed="false">
      <c r="A14" s="29" t="s">
        <v>86</v>
      </c>
      <c r="B14" s="12" t="n">
        <f aca="false">COUNTIF('Remediation Plan'!G8:G25,A14)</f>
        <v>0</v>
      </c>
    </row>
    <row r="15" customFormat="false" ht="15" hidden="false" customHeight="true" outlineLevel="0" collapsed="false">
      <c r="A15" s="32" t="s">
        <v>87</v>
      </c>
      <c r="B15" s="12" t="n">
        <f aca="false">COUNTIF('Remediation Plan'!G8:G25,A15)</f>
        <v>0</v>
      </c>
    </row>
    <row r="17" customFormat="false" ht="15" hidden="false" customHeight="true" outlineLevel="0" collapsed="false">
      <c r="A17" s="4" t="s">
        <v>92</v>
      </c>
      <c r="B17" s="33" t="n">
        <f aca="false">COUNTIF('Remediation Plan'!A8:A25,"F-*")</f>
        <v>14</v>
      </c>
    </row>
    <row r="19" customFormat="false" ht="15" hidden="false" customHeight="true" outlineLevel="0" collapsed="false">
      <c r="A19" s="25" t="s">
        <v>93</v>
      </c>
    </row>
    <row r="20" customFormat="false" ht="15" hidden="false" customHeight="true" outlineLevel="0" collapsed="false">
      <c r="A20" s="34" t="s">
        <v>94</v>
      </c>
      <c r="B20" s="34"/>
      <c r="C20" s="34"/>
      <c r="D20" s="34"/>
    </row>
    <row r="21" customFormat="false" ht="15" hidden="false" customHeight="true" outlineLevel="0" collapsed="false">
      <c r="A21" s="34" t="s">
        <v>95</v>
      </c>
      <c r="B21" s="34"/>
      <c r="C21" s="34"/>
      <c r="D21" s="34"/>
    </row>
    <row r="22" customFormat="false" ht="15" hidden="false" customHeight="true" outlineLevel="0" collapsed="false">
      <c r="A22" s="34" t="s">
        <v>96</v>
      </c>
      <c r="B22" s="34"/>
      <c r="C22" s="34"/>
      <c r="D22" s="34"/>
    </row>
    <row r="23" customFormat="false" ht="15" hidden="false" customHeight="true" outlineLevel="0" collapsed="false">
      <c r="A23" s="34" t="s">
        <v>97</v>
      </c>
      <c r="B23" s="34"/>
      <c r="C23" s="34"/>
      <c r="D23" s="34"/>
    </row>
  </sheetData>
  <mergeCells count="5">
    <mergeCell ref="A1:D1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95"/>
  </cols>
  <sheetData>
    <row r="1" customFormat="false" ht="19.5" hidden="false" customHeight="true" outlineLevel="0" collapsed="false">
      <c r="A1" s="24" t="s">
        <v>98</v>
      </c>
      <c r="B1" s="24"/>
    </row>
    <row r="2" customFormat="false" ht="15" hidden="false" customHeight="true" outlineLevel="0" collapsed="false">
      <c r="A2" s="35"/>
      <c r="B2" s="36"/>
    </row>
    <row r="3" customFormat="false" ht="15" hidden="false" customHeight="true" outlineLevel="0" collapsed="false">
      <c r="A3" s="25" t="s">
        <v>99</v>
      </c>
      <c r="B3" s="36"/>
    </row>
    <row r="4" customFormat="false" ht="31.5" hidden="false" customHeight="true" outlineLevel="0" collapsed="false">
      <c r="A4" s="35"/>
      <c r="B4" s="36" t="s">
        <v>100</v>
      </c>
    </row>
    <row r="5" customFormat="false" ht="15" hidden="false" customHeight="true" outlineLevel="0" collapsed="false">
      <c r="A5" s="35"/>
      <c r="B5" s="36"/>
    </row>
    <row r="6" customFormat="false" ht="15" hidden="false" customHeight="true" outlineLevel="0" collapsed="false">
      <c r="A6" s="25" t="s">
        <v>101</v>
      </c>
      <c r="B6" s="36"/>
    </row>
    <row r="7" customFormat="false" ht="15" hidden="false" customHeight="true" outlineLevel="0" collapsed="false">
      <c r="A7" s="22" t="s">
        <v>16</v>
      </c>
      <c r="B7" s="36" t="s">
        <v>102</v>
      </c>
    </row>
    <row r="8" customFormat="false" ht="31.5" hidden="false" customHeight="true" outlineLevel="0" collapsed="false">
      <c r="A8" s="22" t="s">
        <v>17</v>
      </c>
      <c r="B8" s="36" t="s">
        <v>103</v>
      </c>
    </row>
    <row r="9" customFormat="false" ht="31.5" hidden="false" customHeight="true" outlineLevel="0" collapsed="false">
      <c r="A9" s="22" t="s">
        <v>18</v>
      </c>
      <c r="B9" s="36" t="s">
        <v>104</v>
      </c>
    </row>
    <row r="10" customFormat="false" ht="31.5" hidden="false" customHeight="true" outlineLevel="0" collapsed="false">
      <c r="A10" s="22" t="s">
        <v>19</v>
      </c>
      <c r="B10" s="36" t="s">
        <v>105</v>
      </c>
    </row>
    <row r="11" customFormat="false" ht="15" hidden="false" customHeight="true" outlineLevel="0" collapsed="false">
      <c r="A11" s="22" t="s">
        <v>20</v>
      </c>
      <c r="B11" s="36" t="s">
        <v>106</v>
      </c>
    </row>
    <row r="12" customFormat="false" ht="15" hidden="false" customHeight="true" outlineLevel="0" collapsed="false">
      <c r="A12" s="22" t="s">
        <v>21</v>
      </c>
      <c r="B12" s="36" t="s">
        <v>107</v>
      </c>
    </row>
    <row r="13" customFormat="false" ht="15" hidden="false" customHeight="true" outlineLevel="0" collapsed="false">
      <c r="A13" s="22" t="s">
        <v>22</v>
      </c>
      <c r="B13" s="36" t="s">
        <v>108</v>
      </c>
    </row>
    <row r="14" customFormat="false" ht="31.5" hidden="false" customHeight="true" outlineLevel="0" collapsed="false">
      <c r="A14" s="22" t="s">
        <v>23</v>
      </c>
      <c r="B14" s="36" t="s">
        <v>109</v>
      </c>
    </row>
    <row r="15" customFormat="false" ht="15" hidden="false" customHeight="true" outlineLevel="0" collapsed="false">
      <c r="A15" s="35"/>
      <c r="B15" s="36"/>
    </row>
    <row r="16" customFormat="false" ht="15" hidden="false" customHeight="true" outlineLevel="0" collapsed="false">
      <c r="A16" s="25" t="s">
        <v>110</v>
      </c>
      <c r="B16" s="36"/>
    </row>
    <row r="17" customFormat="false" ht="15" hidden="false" customHeight="true" outlineLevel="0" collapsed="false">
      <c r="A17" s="35"/>
      <c r="B17" s="36" t="s">
        <v>111</v>
      </c>
    </row>
    <row r="18" customFormat="false" ht="15" hidden="false" customHeight="true" outlineLevel="0" collapsed="false">
      <c r="A18" s="35"/>
      <c r="B18" s="36" t="s">
        <v>112</v>
      </c>
    </row>
    <row r="19" customFormat="false" ht="31.5" hidden="false" customHeight="true" outlineLevel="0" collapsed="false">
      <c r="A19" s="35"/>
      <c r="B19" s="36" t="s">
        <v>113</v>
      </c>
    </row>
    <row r="20" customFormat="false" ht="31.5" hidden="false" customHeight="true" outlineLevel="0" collapsed="false">
      <c r="A20" s="35"/>
      <c r="B20" s="36" t="s">
        <v>114</v>
      </c>
    </row>
    <row r="21" customFormat="false" ht="31.5" hidden="false" customHeight="true" outlineLevel="0" collapsed="false">
      <c r="A21" s="35"/>
      <c r="B21" s="36" t="s">
        <v>115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2026-08-24T10:50:48Z</dcterms:created>
  <dc:creator>openpyxl</dc:creator>
  <dc:description/>
  <dc:language>en-US</dc:language>
  <cp:lastModifiedBy/>
  <dcterms:modified xsi:type="dcterms:W3CDTF">2026-08-24T10:52:02Z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