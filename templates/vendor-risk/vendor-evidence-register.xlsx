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Register" sheetId="1" state="visible" r:id="rId3"/>
    <sheet name="Summary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<sst xmlns="http://schemas.openxmlformats.org/spreadsheetml/2006/main" count="208" uniqueCount="126">
  <si>
    <t xml:space="preserve">VENDOR EVIDENCE REGISTER</t>
  </si>
  <si>
    <t xml:space="preserve">Track security, privacy, and resilience evidence collected from vendors. Update Status and Valid Until as evidence is refreshed or expires.</t>
  </si>
  <si>
    <t xml:space="preserve">Evidence ID</t>
  </si>
  <si>
    <t xml:space="preserve">Evidence</t>
  </si>
  <si>
    <t xml:space="preserve">Vendor</t>
  </si>
  <si>
    <t xml:space="preserve">Control / Domain</t>
  </si>
  <si>
    <t xml:space="preserve">Date Received</t>
  </si>
  <si>
    <t xml:space="preserve">Valid Until</t>
  </si>
  <si>
    <t xml:space="preserve">Status</t>
  </si>
  <si>
    <t xml:space="preserve">Reviewer</t>
  </si>
  <si>
    <t xml:space="preserve">Finding / Notes</t>
  </si>
  <si>
    <t xml:space="preserve">EV-001</t>
  </si>
  <si>
    <t xml:space="preserve">ISO/IEC 27001:2022 Certificate</t>
  </si>
  <si>
    <t xml:space="preserve">Acme Cloud Services</t>
  </si>
  <si>
    <t xml:space="preserve">Compliance – ISO 27001</t>
  </si>
  <si>
    <t xml:space="preserve">Valid</t>
  </si>
  <si>
    <t xml:space="preserve">J. Patel</t>
  </si>
  <si>
    <t xml:space="preserve">Certificate covers full scope of SaaS platform. Surveillance audit passed May 2026.</t>
  </si>
  <si>
    <t xml:space="preserve">EV-002</t>
  </si>
  <si>
    <t xml:space="preserve">SOC 2 Type II Report</t>
  </si>
  <si>
    <t xml:space="preserve">Compliance – SOC 2</t>
  </si>
  <si>
    <t xml:space="preserve">Unqualified opinion. Trust Services Criteria: Security, Availability, Confidentiality. No material exceptions.</t>
  </si>
  <si>
    <t xml:space="preserve">EV-003</t>
  </si>
  <si>
    <t xml:space="preserve">External Penetration Test Report</t>
  </si>
  <si>
    <t xml:space="preserve">Vulnerability Management</t>
  </si>
  <si>
    <t xml:space="preserve">S. Okonkwo</t>
  </si>
  <si>
    <t xml:space="preserve">Annual web + API pen test. All Critical/High findings remediated and retested.</t>
  </si>
  <si>
    <t xml:space="preserve">EV-004</t>
  </si>
  <si>
    <t xml:space="preserve">Vulnerability Scan Summary (Q2)</t>
  </si>
  <si>
    <t xml:space="preserve">Authenticated scans of production environment. No open Critical vulnerabilities.</t>
  </si>
  <si>
    <t xml:space="preserve">EV-005</t>
  </si>
  <si>
    <t xml:space="preserve">User Access Review Evidence</t>
  </si>
  <si>
    <t xml:space="preserve">Access Control – Reviews</t>
  </si>
  <si>
    <t xml:space="preserve">M. Chen</t>
  </si>
  <si>
    <t xml:space="preserve">Annual privileged &amp; standard user access recertification completed. Sign-off retained.</t>
  </si>
  <si>
    <t xml:space="preserve">EV-006</t>
  </si>
  <si>
    <t xml:space="preserve">MFA Configuration Evidence</t>
  </si>
  <si>
    <t xml:space="preserve">Access Control – MFA</t>
  </si>
  <si>
    <t xml:space="preserve">MFA enforced for all remote and privileged access. Screenshot + policy extract provided.</t>
  </si>
  <si>
    <t xml:space="preserve">EV-007</t>
  </si>
  <si>
    <t xml:space="preserve">Business Continuity Plan (BCP)</t>
  </si>
  <si>
    <t xml:space="preserve">Business Continuity</t>
  </si>
  <si>
    <t xml:space="preserve">Expiring Soon</t>
  </si>
  <si>
    <t xml:space="preserve">R. Alvarez</t>
  </si>
  <si>
    <t xml:space="preserve">BCP last updated Sep 2025. Annual review due within 30 days.</t>
  </si>
  <si>
    <t xml:space="preserve">EV-008</t>
  </si>
  <si>
    <t xml:space="preserve">Disaster Recovery Test Results</t>
  </si>
  <si>
    <t xml:space="preserve">Business Continuity – DR</t>
  </si>
  <si>
    <t xml:space="preserve">Full failover test completed. RTO/RPO objectives met. Lessons-learned log attached.</t>
  </si>
  <si>
    <t xml:space="preserve">EV-009</t>
  </si>
  <si>
    <t xml:space="preserve">Incident Response Plan</t>
  </si>
  <si>
    <t xml:space="preserve">Incident Management</t>
  </si>
  <si>
    <t xml:space="preserve">IRP defines roles, escalation, and customer notification timelines aligned to contractual SLAs.</t>
  </si>
  <si>
    <t xml:space="preserve">EV-010</t>
  </si>
  <si>
    <t xml:space="preserve">Privacy Policy / Notice</t>
  </si>
  <si>
    <t xml:space="preserve">Privacy</t>
  </si>
  <si>
    <t xml:space="preserve">L. Berg</t>
  </si>
  <si>
    <t xml:space="preserve">Public privacy notice reflects current processing activities and sub-processor disclosures.</t>
  </si>
  <si>
    <t xml:space="preserve">EV-011</t>
  </si>
  <si>
    <t xml:space="preserve">Sub-processor List</t>
  </si>
  <si>
    <t xml:space="preserve">Privacy – Sub-processors</t>
  </si>
  <si>
    <t xml:space="preserve">Current list of sub-processors with locations and processing purposes. Change notification process confirmed.</t>
  </si>
  <si>
    <t xml:space="preserve">EV-012</t>
  </si>
  <si>
    <t xml:space="preserve">Encryption Statement / Standards</t>
  </si>
  <si>
    <t xml:space="preserve">Data Protection – Encryption</t>
  </si>
  <si>
    <t xml:space="preserve">AES-256 at rest; TLS 1.2+ in transit. Key management overview provided.</t>
  </si>
  <si>
    <t xml:space="preserve">EV-013</t>
  </si>
  <si>
    <t xml:space="preserve">Backup Configuration &amp; Restore Evidence</t>
  </si>
  <si>
    <t xml:space="preserve">Business Continuity – Backup</t>
  </si>
  <si>
    <t xml:space="preserve">Daily backups; restore tested quarterly. Offsite / geo-redundant storage confirmed.</t>
  </si>
  <si>
    <t xml:space="preserve">EV-014</t>
  </si>
  <si>
    <t xml:space="preserve">Security Awareness Training Records</t>
  </si>
  <si>
    <t xml:space="preserve">Governance – Awareness</t>
  </si>
  <si>
    <t xml:space="preserve">Annual mandatory training completion rate &gt;98%. Phishing simulation results included.</t>
  </si>
  <si>
    <t xml:space="preserve">EV-015</t>
  </si>
  <si>
    <t xml:space="preserve">Secure Data Deletion Procedure</t>
  </si>
  <si>
    <t xml:space="preserve">Data Protection – Deletion</t>
  </si>
  <si>
    <t xml:space="preserve">Documented secure wipe / crypto-erase process. Certificate of destruction template available on request.</t>
  </si>
  <si>
    <t xml:space="preserve">EV-016</t>
  </si>
  <si>
    <t xml:space="preserve">Privileged Access Management (PAM) Evidence</t>
  </si>
  <si>
    <t xml:space="preserve">Access Control – Privileged</t>
  </si>
  <si>
    <t xml:space="preserve">Just-in-time privileged access with session logging. Sample session reports provided.</t>
  </si>
  <si>
    <t xml:space="preserve">EV-017</t>
  </si>
  <si>
    <t xml:space="preserve">Data Retention Policy Extract</t>
  </si>
  <si>
    <t xml:space="preserve">Data Protection – Retention</t>
  </si>
  <si>
    <t xml:space="preserve">Retention periods mapped to legal and contractual requirements. Automated deletion jobs in place.</t>
  </si>
  <si>
    <t xml:space="preserve">EV-018</t>
  </si>
  <si>
    <t xml:space="preserve">Incident Response Tabletop Exercise Report</t>
  </si>
  <si>
    <t xml:space="preserve">Incident Management – Testing</t>
  </si>
  <si>
    <t xml:space="preserve">Annual tabletop completed. Action items tracked and closed.</t>
  </si>
  <si>
    <t xml:space="preserve">Status Legend</t>
  </si>
  <si>
    <t xml:space="preserve">Evidence is current and within validity period</t>
  </si>
  <si>
    <t xml:space="preserve">Validity ends within ~60 days; request refresh</t>
  </si>
  <si>
    <t xml:space="preserve">Expired</t>
  </si>
  <si>
    <t xml:space="preserve">Past Valid Until date; treat as missing until refreshed</t>
  </si>
  <si>
    <t xml:space="preserve">Pending Review</t>
  </si>
  <si>
    <t xml:space="preserve">Received but not yet reviewed / accepted</t>
  </si>
  <si>
    <t xml:space="preserve">Not Applicable</t>
  </si>
  <si>
    <t xml:space="preserve">Evidence type not relevant to this vendor / service</t>
  </si>
  <si>
    <t xml:space="preserve">EVIDENCE REGISTER SUMMARY</t>
  </si>
  <si>
    <t xml:space="preserve">Counts by Status</t>
  </si>
  <si>
    <t xml:space="preserve">Count</t>
  </si>
  <si>
    <t xml:space="preserve">Total Evidence Items</t>
  </si>
  <si>
    <t xml:space="preserve">Evidence by Control / Domain</t>
  </si>
  <si>
    <t xml:space="preserve">Items</t>
  </si>
  <si>
    <t xml:space="preserve">VENDOR EVIDENCE REGISTER — INSTRUCTIONS</t>
  </si>
  <si>
    <t xml:space="preserve">Purpose</t>
  </si>
  <si>
    <t xml:space="preserve">Maintain a living inventory of security, privacy, and resilience evidence obtained from vendors. Supports audit readiness, continuous monitoring, and timely refresh of expiring artifacts.</t>
  </si>
  <si>
    <t xml:space="preserve">Column definitions</t>
  </si>
  <si>
    <t xml:space="preserve">Unique identifier (e.g., EV-001). Keep sequential for traceability.</t>
  </si>
  <si>
    <t xml:space="preserve">Short descriptive name of the artifact (certificate, report, policy extract, screenshot pack, etc.).</t>
  </si>
  <si>
    <t xml:space="preserve">Legal or trading name of the third party that supplied the evidence.</t>
  </si>
  <si>
    <t xml:space="preserve">Mapped control area (e.g., Access Control – MFA, Compliance – SOC 2). Aligns with questionnaire and scoring domains.</t>
  </si>
  <si>
    <t xml:space="preserve">Date the evidence was received or accepted by the assessor.</t>
  </si>
  <si>
    <t xml:space="preserve">Expiry date of the certificate/report, or the date by which refreshed evidence is required (whichever is earlier).</t>
  </si>
  <si>
    <t xml:space="preserve">Valid | Expiring Soon | Expired | Pending Review | Not Applicable. Update whenever evidence is refreshed or ages out.</t>
  </si>
  <si>
    <t xml:space="preserve">Person who reviewed and accepted the evidence.</t>
  </si>
  <si>
    <t xml:space="preserve">Key observations, scope limitations, open actions, or links to the stored artifact.</t>
  </si>
  <si>
    <t xml:space="preserve">Recommended practice</t>
  </si>
  <si>
    <t xml:space="preserve">1. Request evidence as part of initial due diligence and on a defined refresh cycle (often aligned to certificate validity or annual review).</t>
  </si>
  <si>
    <t xml:space="preserve">2. Set Valid Until to the earlier of formal expiry or internal policy refresh interval (e.g., annual for policies, 12 months for SOC 2).</t>
  </si>
  <si>
    <t xml:space="preserve">3. Flag items as Expiring Soon ~60 days before Valid Until so there is time to request updates.</t>
  </si>
  <si>
    <t xml:space="preserve">4. Store the actual files in a controlled repository and reference location or ticket ID in the Notes column.</t>
  </si>
  <si>
    <t xml:space="preserve">5. Use the Summary sheet to monitor overall evidence health and coverage by control domain.</t>
  </si>
  <si>
    <t xml:space="preserve">Sample data</t>
  </si>
  <si>
    <t xml:space="preserve">Eighteen realistic sample entries for a single vendor (Acme Cloud Services) are pre-populated to illustrate usage. Replace or extend with your actual vendor evidence.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</si>
</sst>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FEB9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5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37.5" hidden="false" customHeight="tru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7" t="n">
        <v>45976</v>
      </c>
      <c r="F5" s="7" t="n">
        <v>47071</v>
      </c>
      <c r="G5" s="8" t="s">
        <v>15</v>
      </c>
      <c r="H5" s="6" t="s">
        <v>16</v>
      </c>
      <c r="I5" s="6" t="s">
        <v>17</v>
      </c>
    </row>
    <row r="6" customFormat="false" ht="37.5" hidden="false" customHeight="true" outlineLevel="0" collapsed="false">
      <c r="A6" s="5" t="s">
        <v>18</v>
      </c>
      <c r="B6" s="6" t="s">
        <v>19</v>
      </c>
      <c r="C6" s="6" t="s">
        <v>13</v>
      </c>
      <c r="D6" s="6" t="s">
        <v>20</v>
      </c>
      <c r="E6" s="7" t="n">
        <v>46101</v>
      </c>
      <c r="F6" s="7" t="n">
        <v>46465</v>
      </c>
      <c r="G6" s="8" t="s">
        <v>15</v>
      </c>
      <c r="H6" s="6" t="s">
        <v>16</v>
      </c>
      <c r="I6" s="6" t="s">
        <v>21</v>
      </c>
    </row>
    <row r="7" customFormat="false" ht="37.5" hidden="false" customHeight="true" outlineLevel="0" collapsed="false">
      <c r="A7" s="5" t="s">
        <v>22</v>
      </c>
      <c r="B7" s="6" t="s">
        <v>23</v>
      </c>
      <c r="C7" s="6" t="s">
        <v>13</v>
      </c>
      <c r="D7" s="6" t="s">
        <v>24</v>
      </c>
      <c r="E7" s="7" t="n">
        <v>46063</v>
      </c>
      <c r="F7" s="7" t="n">
        <v>46427</v>
      </c>
      <c r="G7" s="8" t="s">
        <v>15</v>
      </c>
      <c r="H7" s="6" t="s">
        <v>25</v>
      </c>
      <c r="I7" s="6" t="s">
        <v>26</v>
      </c>
    </row>
    <row r="8" customFormat="false" ht="37.5" hidden="false" customHeight="true" outlineLevel="0" collapsed="false">
      <c r="A8" s="5" t="s">
        <v>27</v>
      </c>
      <c r="B8" s="6" t="s">
        <v>28</v>
      </c>
      <c r="C8" s="6" t="s">
        <v>13</v>
      </c>
      <c r="D8" s="6" t="s">
        <v>24</v>
      </c>
      <c r="E8" s="7" t="n">
        <v>46203</v>
      </c>
      <c r="F8" s="7" t="n">
        <v>46295</v>
      </c>
      <c r="G8" s="8" t="s">
        <v>15</v>
      </c>
      <c r="H8" s="6" t="s">
        <v>25</v>
      </c>
      <c r="I8" s="6" t="s">
        <v>29</v>
      </c>
    </row>
    <row r="9" customFormat="false" ht="37.5" hidden="false" customHeight="true" outlineLevel="0" collapsed="false">
      <c r="A9" s="5" t="s">
        <v>30</v>
      </c>
      <c r="B9" s="6" t="s">
        <v>31</v>
      </c>
      <c r="C9" s="6" t="s">
        <v>13</v>
      </c>
      <c r="D9" s="6" t="s">
        <v>32</v>
      </c>
      <c r="E9" s="7" t="n">
        <v>46127</v>
      </c>
      <c r="F9" s="7" t="n">
        <v>46491</v>
      </c>
      <c r="G9" s="8" t="s">
        <v>15</v>
      </c>
      <c r="H9" s="6" t="s">
        <v>33</v>
      </c>
      <c r="I9" s="6" t="s">
        <v>34</v>
      </c>
    </row>
    <row r="10" customFormat="false" ht="37.5" hidden="false" customHeight="true" outlineLevel="0" collapsed="false">
      <c r="A10" s="5" t="s">
        <v>35</v>
      </c>
      <c r="B10" s="6" t="s">
        <v>36</v>
      </c>
      <c r="C10" s="6" t="s">
        <v>13</v>
      </c>
      <c r="D10" s="6" t="s">
        <v>37</v>
      </c>
      <c r="E10" s="7" t="n">
        <v>46044</v>
      </c>
      <c r="F10" s="7" t="n">
        <v>46408</v>
      </c>
      <c r="G10" s="8" t="s">
        <v>15</v>
      </c>
      <c r="H10" s="6" t="s">
        <v>33</v>
      </c>
      <c r="I10" s="6" t="s">
        <v>38</v>
      </c>
    </row>
    <row r="11" customFormat="false" ht="37.5" hidden="false" customHeight="true" outlineLevel="0" collapsed="false">
      <c r="A11" s="5" t="s">
        <v>39</v>
      </c>
      <c r="B11" s="6" t="s">
        <v>40</v>
      </c>
      <c r="C11" s="6" t="s">
        <v>13</v>
      </c>
      <c r="D11" s="6" t="s">
        <v>41</v>
      </c>
      <c r="E11" s="7" t="n">
        <v>45905</v>
      </c>
      <c r="F11" s="7" t="n">
        <v>46269</v>
      </c>
      <c r="G11" s="9" t="s">
        <v>42</v>
      </c>
      <c r="H11" s="6" t="s">
        <v>43</v>
      </c>
      <c r="I11" s="6" t="s">
        <v>44</v>
      </c>
    </row>
    <row r="12" customFormat="false" ht="37.5" hidden="false" customHeight="true" outlineLevel="0" collapsed="false">
      <c r="A12" s="5" t="s">
        <v>45</v>
      </c>
      <c r="B12" s="6" t="s">
        <v>46</v>
      </c>
      <c r="C12" s="6" t="s">
        <v>13</v>
      </c>
      <c r="D12" s="6" t="s">
        <v>47</v>
      </c>
      <c r="E12" s="7" t="n">
        <v>46154</v>
      </c>
      <c r="F12" s="7" t="n">
        <v>46518</v>
      </c>
      <c r="G12" s="8" t="s">
        <v>15</v>
      </c>
      <c r="H12" s="6" t="s">
        <v>43</v>
      </c>
      <c r="I12" s="6" t="s">
        <v>48</v>
      </c>
    </row>
    <row r="13" customFormat="false" ht="37.5" hidden="false" customHeight="true" outlineLevel="0" collapsed="false">
      <c r="A13" s="5" t="s">
        <v>49</v>
      </c>
      <c r="B13" s="6" t="s">
        <v>50</v>
      </c>
      <c r="C13" s="6" t="s">
        <v>13</v>
      </c>
      <c r="D13" s="6" t="s">
        <v>51</v>
      </c>
      <c r="E13" s="7" t="n">
        <v>45999</v>
      </c>
      <c r="F13" s="7" t="n">
        <v>46363</v>
      </c>
      <c r="G13" s="8" t="s">
        <v>15</v>
      </c>
      <c r="H13" s="6" t="s">
        <v>16</v>
      </c>
      <c r="I13" s="6" t="s">
        <v>52</v>
      </c>
    </row>
    <row r="14" customFormat="false" ht="37.5" hidden="false" customHeight="true" outlineLevel="0" collapsed="false">
      <c r="A14" s="5" t="s">
        <v>53</v>
      </c>
      <c r="B14" s="6" t="s">
        <v>54</v>
      </c>
      <c r="C14" s="6" t="s">
        <v>13</v>
      </c>
      <c r="D14" s="6" t="s">
        <v>55</v>
      </c>
      <c r="E14" s="7" t="n">
        <v>46032</v>
      </c>
      <c r="F14" s="7" t="n">
        <v>46396</v>
      </c>
      <c r="G14" s="8" t="s">
        <v>15</v>
      </c>
      <c r="H14" s="6" t="s">
        <v>56</v>
      </c>
      <c r="I14" s="6" t="s">
        <v>57</v>
      </c>
    </row>
    <row r="15" customFormat="false" ht="37.5" hidden="false" customHeight="true" outlineLevel="0" collapsed="false">
      <c r="A15" s="5" t="s">
        <v>58</v>
      </c>
      <c r="B15" s="6" t="s">
        <v>59</v>
      </c>
      <c r="C15" s="6" t="s">
        <v>13</v>
      </c>
      <c r="D15" s="6" t="s">
        <v>60</v>
      </c>
      <c r="E15" s="7" t="n">
        <v>46204</v>
      </c>
      <c r="F15" s="7" t="n">
        <v>46569</v>
      </c>
      <c r="G15" s="8" t="s">
        <v>15</v>
      </c>
      <c r="H15" s="6" t="s">
        <v>56</v>
      </c>
      <c r="I15" s="6" t="s">
        <v>61</v>
      </c>
    </row>
    <row r="16" customFormat="false" ht="37.5" hidden="false" customHeight="true" outlineLevel="0" collapsed="false">
      <c r="A16" s="5" t="s">
        <v>62</v>
      </c>
      <c r="B16" s="6" t="s">
        <v>63</v>
      </c>
      <c r="C16" s="6" t="s">
        <v>13</v>
      </c>
      <c r="D16" s="6" t="s">
        <v>64</v>
      </c>
      <c r="E16" s="7" t="n">
        <v>46086</v>
      </c>
      <c r="F16" s="7" t="n">
        <v>46450</v>
      </c>
      <c r="G16" s="8" t="s">
        <v>15</v>
      </c>
      <c r="H16" s="6" t="s">
        <v>25</v>
      </c>
      <c r="I16" s="6" t="s">
        <v>65</v>
      </c>
    </row>
    <row r="17" customFormat="false" ht="37.5" hidden="false" customHeight="true" outlineLevel="0" collapsed="false">
      <c r="A17" s="5" t="s">
        <v>66</v>
      </c>
      <c r="B17" s="6" t="s">
        <v>67</v>
      </c>
      <c r="C17" s="6" t="s">
        <v>13</v>
      </c>
      <c r="D17" s="6" t="s">
        <v>68</v>
      </c>
      <c r="E17" s="7" t="n">
        <v>46140</v>
      </c>
      <c r="F17" s="7" t="n">
        <v>46504</v>
      </c>
      <c r="G17" s="8" t="s">
        <v>15</v>
      </c>
      <c r="H17" s="6" t="s">
        <v>43</v>
      </c>
      <c r="I17" s="6" t="s">
        <v>69</v>
      </c>
    </row>
    <row r="18" customFormat="false" ht="37.5" hidden="false" customHeight="true" outlineLevel="0" collapsed="false">
      <c r="A18" s="5" t="s">
        <v>70</v>
      </c>
      <c r="B18" s="6" t="s">
        <v>71</v>
      </c>
      <c r="C18" s="6" t="s">
        <v>13</v>
      </c>
      <c r="D18" s="6" t="s">
        <v>72</v>
      </c>
      <c r="E18" s="7" t="n">
        <v>46081</v>
      </c>
      <c r="F18" s="7" t="n">
        <v>46445</v>
      </c>
      <c r="G18" s="8" t="s">
        <v>15</v>
      </c>
      <c r="H18" s="6" t="s">
        <v>33</v>
      </c>
      <c r="I18" s="6" t="s">
        <v>73</v>
      </c>
    </row>
    <row r="19" customFormat="false" ht="37.5" hidden="false" customHeight="true" outlineLevel="0" collapsed="false">
      <c r="A19" s="5" t="s">
        <v>74</v>
      </c>
      <c r="B19" s="6" t="s">
        <v>75</v>
      </c>
      <c r="C19" s="6" t="s">
        <v>13</v>
      </c>
      <c r="D19" s="6" t="s">
        <v>76</v>
      </c>
      <c r="E19" s="7" t="n">
        <v>45948</v>
      </c>
      <c r="F19" s="7" t="n">
        <v>46312</v>
      </c>
      <c r="G19" s="9" t="s">
        <v>42</v>
      </c>
      <c r="H19" s="6" t="s">
        <v>56</v>
      </c>
      <c r="I19" s="6" t="s">
        <v>77</v>
      </c>
    </row>
    <row r="20" customFormat="false" ht="37.5" hidden="false" customHeight="true" outlineLevel="0" collapsed="false">
      <c r="A20" s="5" t="s">
        <v>78</v>
      </c>
      <c r="B20" s="6" t="s">
        <v>79</v>
      </c>
      <c r="C20" s="6" t="s">
        <v>13</v>
      </c>
      <c r="D20" s="6" t="s">
        <v>80</v>
      </c>
      <c r="E20" s="7" t="n">
        <v>46162</v>
      </c>
      <c r="F20" s="7" t="n">
        <v>46526</v>
      </c>
      <c r="G20" s="8" t="s">
        <v>15</v>
      </c>
      <c r="H20" s="6" t="s">
        <v>33</v>
      </c>
      <c r="I20" s="6" t="s">
        <v>81</v>
      </c>
    </row>
    <row r="21" customFormat="false" ht="37.5" hidden="false" customHeight="true" outlineLevel="0" collapsed="false">
      <c r="A21" s="5" t="s">
        <v>82</v>
      </c>
      <c r="B21" s="6" t="s">
        <v>83</v>
      </c>
      <c r="C21" s="6" t="s">
        <v>13</v>
      </c>
      <c r="D21" s="6" t="s">
        <v>84</v>
      </c>
      <c r="E21" s="7" t="n">
        <v>46037</v>
      </c>
      <c r="F21" s="7" t="n">
        <v>46401</v>
      </c>
      <c r="G21" s="8" t="s">
        <v>15</v>
      </c>
      <c r="H21" s="6" t="s">
        <v>56</v>
      </c>
      <c r="I21" s="6" t="s">
        <v>85</v>
      </c>
    </row>
    <row r="22" customFormat="false" ht="37.5" hidden="false" customHeight="true" outlineLevel="0" collapsed="false">
      <c r="A22" s="5" t="s">
        <v>86</v>
      </c>
      <c r="B22" s="6" t="s">
        <v>87</v>
      </c>
      <c r="C22" s="6" t="s">
        <v>13</v>
      </c>
      <c r="D22" s="6" t="s">
        <v>88</v>
      </c>
      <c r="E22" s="7" t="n">
        <v>46178</v>
      </c>
      <c r="F22" s="7" t="n">
        <v>46542</v>
      </c>
      <c r="G22" s="8" t="s">
        <v>15</v>
      </c>
      <c r="H22" s="6" t="s">
        <v>16</v>
      </c>
      <c r="I22" s="6" t="s">
        <v>89</v>
      </c>
    </row>
    <row r="23" customFormat="false" ht="27.75" hidden="false" customHeight="true" outlineLevel="0" collapsed="false">
      <c r="A23" s="10"/>
      <c r="B23" s="11"/>
      <c r="C23" s="11"/>
      <c r="D23" s="11"/>
      <c r="E23" s="10"/>
      <c r="F23" s="10"/>
      <c r="G23" s="12"/>
      <c r="H23" s="11"/>
      <c r="I23" s="11"/>
    </row>
    <row r="24" customFormat="false" ht="27.75" hidden="false" customHeight="true" outlineLevel="0" collapsed="false">
      <c r="A24" s="10"/>
      <c r="B24" s="11"/>
      <c r="C24" s="11"/>
      <c r="D24" s="11"/>
      <c r="E24" s="10"/>
      <c r="F24" s="10"/>
      <c r="G24" s="12"/>
      <c r="H24" s="11"/>
      <c r="I24" s="11"/>
    </row>
    <row r="25" customFormat="false" ht="27.75" hidden="false" customHeight="true" outlineLevel="0" collapsed="false">
      <c r="A25" s="10"/>
      <c r="B25" s="11"/>
      <c r="C25" s="11"/>
      <c r="D25" s="11"/>
      <c r="E25" s="10"/>
      <c r="F25" s="10"/>
      <c r="G25" s="12"/>
      <c r="H25" s="11"/>
      <c r="I25" s="11"/>
    </row>
    <row r="26" customFormat="false" ht="27.75" hidden="false" customHeight="true" outlineLevel="0" collapsed="false">
      <c r="A26" s="10"/>
      <c r="B26" s="11"/>
      <c r="C26" s="11"/>
      <c r="D26" s="11"/>
      <c r="E26" s="10"/>
      <c r="F26" s="10"/>
      <c r="G26" s="12"/>
      <c r="H26" s="11"/>
      <c r="I26" s="11"/>
    </row>
    <row r="27" customFormat="false" ht="27.75" hidden="false" customHeight="true" outlineLevel="0" collapsed="false">
      <c r="A27" s="10"/>
      <c r="B27" s="11"/>
      <c r="C27" s="11"/>
      <c r="D27" s="11"/>
      <c r="E27" s="10"/>
      <c r="F27" s="10"/>
      <c r="G27" s="12"/>
      <c r="H27" s="11"/>
      <c r="I27" s="11"/>
    </row>
    <row r="29" customFormat="false" ht="15" hidden="false" customHeight="true" outlineLevel="0" collapsed="false">
      <c r="A29" s="13" t="s">
        <v>90</v>
      </c>
      <c r="B29" s="13"/>
      <c r="C29" s="13"/>
    </row>
    <row r="30" customFormat="false" ht="15" hidden="false" customHeight="true" outlineLevel="0" collapsed="false">
      <c r="A30" s="8" t="s">
        <v>15</v>
      </c>
      <c r="B30" s="14" t="s">
        <v>91</v>
      </c>
      <c r="C30" s="14"/>
      <c r="D30" s="14"/>
    </row>
    <row r="31" customFormat="false" ht="23.25" hidden="false" customHeight="true" outlineLevel="0" collapsed="false">
      <c r="A31" s="9" t="s">
        <v>42</v>
      </c>
      <c r="B31" s="14" t="s">
        <v>92</v>
      </c>
      <c r="C31" s="14"/>
      <c r="D31" s="14"/>
    </row>
    <row r="32" customFormat="false" ht="15" hidden="false" customHeight="true" outlineLevel="0" collapsed="false">
      <c r="A32" s="15" t="s">
        <v>93</v>
      </c>
      <c r="B32" s="14" t="s">
        <v>94</v>
      </c>
      <c r="C32" s="14"/>
      <c r="D32" s="14"/>
    </row>
    <row r="33" customFormat="false" ht="23.25" hidden="false" customHeight="true" outlineLevel="0" collapsed="false">
      <c r="A33" s="16" t="s">
        <v>95</v>
      </c>
      <c r="B33" s="14" t="s">
        <v>96</v>
      </c>
      <c r="C33" s="14"/>
      <c r="D33" s="14"/>
    </row>
    <row r="34" customFormat="false" ht="23.25" hidden="false" customHeight="true" outlineLevel="0" collapsed="false">
      <c r="A34" s="17" t="s">
        <v>97</v>
      </c>
      <c r="B34" s="14" t="s">
        <v>98</v>
      </c>
      <c r="C34" s="14"/>
      <c r="D34" s="14"/>
    </row>
  </sheetData>
  <mergeCells count="8">
    <mergeCell ref="A1:I1"/>
    <mergeCell ref="A2:I2"/>
    <mergeCell ref="A29:C29"/>
    <mergeCell ref="B30:D30"/>
    <mergeCell ref="B31:D31"/>
    <mergeCell ref="B32:D32"/>
    <mergeCell ref="B33:D33"/>
    <mergeCell ref="B34:D34"/>
  </mergeCells>
  <dataValidations count="1">
    <dataValidation allowBlank="true" errorStyle="stop" operator="between" prompt="Select status" promptTitle="Evidence Status" showDropDown="false" showErrorMessage="false" showInputMessage="false" sqref="G5:G42" type="list">
      <formula1>"Valid,Expiring Soon,Expired,Pending Review,Not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</cols>
  <sheetData>
    <row r="1" customFormat="false" ht="19.5" hidden="false" customHeight="true" outlineLevel="0" collapsed="false">
      <c r="A1" s="18" t="s">
        <v>99</v>
      </c>
      <c r="B1" s="18"/>
      <c r="C1" s="18"/>
      <c r="D1" s="18"/>
    </row>
    <row r="3" customFormat="false" ht="15" hidden="false" customHeight="true" outlineLevel="0" collapsed="false">
      <c r="A3" s="19" t="s">
        <v>100</v>
      </c>
    </row>
    <row r="4" customFormat="false" ht="15" hidden="false" customHeight="true" outlineLevel="0" collapsed="false">
      <c r="A4" s="4" t="s">
        <v>8</v>
      </c>
      <c r="B4" s="4" t="s">
        <v>101</v>
      </c>
    </row>
    <row r="5" customFormat="false" ht="15" hidden="false" customHeight="true" outlineLevel="0" collapsed="false">
      <c r="A5" s="20" t="s">
        <v>15</v>
      </c>
      <c r="B5" s="5" t="n">
        <f aca="false">COUNTIF('Evidence Register'!G:G,A5)</f>
        <v>16</v>
      </c>
    </row>
    <row r="6" customFormat="false" ht="15" hidden="false" customHeight="true" outlineLevel="0" collapsed="false">
      <c r="A6" s="21" t="s">
        <v>42</v>
      </c>
      <c r="B6" s="5" t="n">
        <f aca="false">COUNTIF('Evidence Register'!G:G,A6)</f>
        <v>2</v>
      </c>
    </row>
    <row r="7" customFormat="false" ht="15" hidden="false" customHeight="true" outlineLevel="0" collapsed="false">
      <c r="A7" s="22" t="s">
        <v>93</v>
      </c>
      <c r="B7" s="5" t="n">
        <f aca="false">COUNTIF('Evidence Register'!G:G,A7)</f>
        <v>0</v>
      </c>
    </row>
    <row r="8" customFormat="false" ht="15" hidden="false" customHeight="true" outlineLevel="0" collapsed="false">
      <c r="A8" s="23" t="s">
        <v>95</v>
      </c>
      <c r="B8" s="5" t="n">
        <f aca="false">COUNTIF('Evidence Register'!G:G,A8)</f>
        <v>0</v>
      </c>
    </row>
    <row r="9" customFormat="false" ht="15" hidden="false" customHeight="true" outlineLevel="0" collapsed="false">
      <c r="A9" s="24" t="s">
        <v>97</v>
      </c>
      <c r="B9" s="5" t="n">
        <f aca="false">COUNTIF('Evidence Register'!G:G,A9)</f>
        <v>0</v>
      </c>
    </row>
    <row r="11" customFormat="false" ht="15" hidden="false" customHeight="true" outlineLevel="0" collapsed="false">
      <c r="A11" s="25" t="s">
        <v>102</v>
      </c>
      <c r="B11" s="26" t="n">
        <f aca="false">COUNTIF('Evidence Register'!A5:A100,"EV-*")</f>
        <v>18</v>
      </c>
    </row>
    <row r="13" customFormat="false" ht="15" hidden="false" customHeight="true" outlineLevel="0" collapsed="false">
      <c r="A13" s="19" t="s">
        <v>103</v>
      </c>
    </row>
    <row r="14" customFormat="false" ht="15" hidden="false" customHeight="true" outlineLevel="0" collapsed="false">
      <c r="A14" s="4" t="s">
        <v>5</v>
      </c>
      <c r="B14" s="4" t="s">
        <v>104</v>
      </c>
    </row>
    <row r="15" customFormat="false" ht="15" hidden="false" customHeight="true" outlineLevel="0" collapsed="false">
      <c r="A15" s="27" t="s">
        <v>14</v>
      </c>
      <c r="B15" s="5" t="n">
        <f aca="false">COUNTIF('Evidence Register'!D:D,A15)</f>
        <v>1</v>
      </c>
    </row>
    <row r="16" customFormat="false" ht="15" hidden="false" customHeight="true" outlineLevel="0" collapsed="false">
      <c r="A16" s="27" t="s">
        <v>20</v>
      </c>
      <c r="B16" s="5" t="n">
        <f aca="false">COUNTIF('Evidence Register'!D:D,A16)</f>
        <v>1</v>
      </c>
    </row>
    <row r="17" customFormat="false" ht="15" hidden="false" customHeight="true" outlineLevel="0" collapsed="false">
      <c r="A17" s="27" t="s">
        <v>24</v>
      </c>
      <c r="B17" s="5" t="n">
        <f aca="false">COUNTIF('Evidence Register'!D:D,A17)</f>
        <v>2</v>
      </c>
    </row>
    <row r="18" customFormat="false" ht="15" hidden="false" customHeight="true" outlineLevel="0" collapsed="false">
      <c r="A18" s="27" t="s">
        <v>32</v>
      </c>
      <c r="B18" s="5" t="n">
        <f aca="false">COUNTIF('Evidence Register'!D:D,A18)</f>
        <v>1</v>
      </c>
    </row>
    <row r="19" customFormat="false" ht="15" hidden="false" customHeight="true" outlineLevel="0" collapsed="false">
      <c r="A19" s="27" t="s">
        <v>37</v>
      </c>
      <c r="B19" s="5" t="n">
        <f aca="false">COUNTIF('Evidence Register'!D:D,A19)</f>
        <v>1</v>
      </c>
    </row>
    <row r="20" customFormat="false" ht="15" hidden="false" customHeight="true" outlineLevel="0" collapsed="false">
      <c r="A20" s="27" t="s">
        <v>80</v>
      </c>
      <c r="B20" s="5" t="n">
        <f aca="false">COUNTIF('Evidence Register'!D:D,A20)</f>
        <v>1</v>
      </c>
    </row>
    <row r="21" customFormat="false" ht="15" hidden="false" customHeight="true" outlineLevel="0" collapsed="false">
      <c r="A21" s="27" t="s">
        <v>41</v>
      </c>
      <c r="B21" s="5" t="n">
        <f aca="false">COUNTIF('Evidence Register'!D:D,A21)</f>
        <v>1</v>
      </c>
    </row>
    <row r="22" customFormat="false" ht="15" hidden="false" customHeight="true" outlineLevel="0" collapsed="false">
      <c r="A22" s="27" t="s">
        <v>47</v>
      </c>
      <c r="B22" s="5" t="n">
        <f aca="false">COUNTIF('Evidence Register'!D:D,A22)</f>
        <v>1</v>
      </c>
    </row>
    <row r="23" customFormat="false" ht="15" hidden="false" customHeight="true" outlineLevel="0" collapsed="false">
      <c r="A23" s="27" t="s">
        <v>68</v>
      </c>
      <c r="B23" s="5" t="n">
        <f aca="false">COUNTIF('Evidence Register'!D:D,A23)</f>
        <v>1</v>
      </c>
    </row>
    <row r="24" customFormat="false" ht="15" hidden="false" customHeight="true" outlineLevel="0" collapsed="false">
      <c r="A24" s="27" t="s">
        <v>51</v>
      </c>
      <c r="B24" s="5" t="n">
        <f aca="false">COUNTIF('Evidence Register'!D:D,A24)</f>
        <v>1</v>
      </c>
    </row>
    <row r="25" customFormat="false" ht="15" hidden="false" customHeight="true" outlineLevel="0" collapsed="false">
      <c r="A25" s="27" t="s">
        <v>88</v>
      </c>
      <c r="B25" s="5" t="n">
        <f aca="false">COUNTIF('Evidence Register'!D:D,A25)</f>
        <v>1</v>
      </c>
    </row>
    <row r="26" customFormat="false" ht="15" hidden="false" customHeight="true" outlineLevel="0" collapsed="false">
      <c r="A26" s="27" t="s">
        <v>55</v>
      </c>
      <c r="B26" s="5" t="n">
        <f aca="false">COUNTIF('Evidence Register'!D:D,A26)</f>
        <v>1</v>
      </c>
    </row>
    <row r="27" customFormat="false" ht="15" hidden="false" customHeight="true" outlineLevel="0" collapsed="false">
      <c r="A27" s="27" t="s">
        <v>60</v>
      </c>
      <c r="B27" s="5" t="n">
        <f aca="false">COUNTIF('Evidence Register'!D:D,A27)</f>
        <v>1</v>
      </c>
    </row>
    <row r="28" customFormat="false" ht="15" hidden="false" customHeight="true" outlineLevel="0" collapsed="false">
      <c r="A28" s="27" t="s">
        <v>64</v>
      </c>
      <c r="B28" s="5" t="n">
        <f aca="false">COUNTIF('Evidence Register'!D:D,A28)</f>
        <v>1</v>
      </c>
    </row>
    <row r="29" customFormat="false" ht="15" hidden="false" customHeight="true" outlineLevel="0" collapsed="false">
      <c r="A29" s="27" t="s">
        <v>76</v>
      </c>
      <c r="B29" s="5" t="n">
        <f aca="false">COUNTIF('Evidence Register'!D:D,A29)</f>
        <v>1</v>
      </c>
    </row>
    <row r="30" customFormat="false" ht="15" hidden="false" customHeight="true" outlineLevel="0" collapsed="false">
      <c r="A30" s="27" t="s">
        <v>84</v>
      </c>
      <c r="B30" s="5" t="n">
        <f aca="false">COUNTIF('Evidence Register'!D:D,A30)</f>
        <v>1</v>
      </c>
    </row>
    <row r="31" customFormat="false" ht="15" hidden="false" customHeight="true" outlineLevel="0" collapsed="false">
      <c r="A31" s="27" t="s">
        <v>72</v>
      </c>
      <c r="B31" s="5" t="n">
        <f aca="false">COUNTIF('Evidence Register'!D:D,A31)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18" t="s">
        <v>105</v>
      </c>
      <c r="B1" s="18"/>
    </row>
    <row r="2" customFormat="false" ht="15" hidden="false" customHeight="true" outlineLevel="0" collapsed="false">
      <c r="A2" s="28"/>
      <c r="B2" s="29"/>
    </row>
    <row r="3" customFormat="false" ht="15" hidden="false" customHeight="true" outlineLevel="0" collapsed="false">
      <c r="A3" s="19" t="s">
        <v>106</v>
      </c>
      <c r="B3" s="30"/>
    </row>
    <row r="4" customFormat="false" ht="31.5" hidden="false" customHeight="true" outlineLevel="0" collapsed="false">
      <c r="A4" s="28"/>
      <c r="B4" s="29" t="s">
        <v>107</v>
      </c>
    </row>
    <row r="5" customFormat="false" ht="15" hidden="false" customHeight="true" outlineLevel="0" collapsed="false">
      <c r="A5" s="28"/>
      <c r="B5" s="29"/>
    </row>
    <row r="6" customFormat="false" ht="15" hidden="false" customHeight="true" outlineLevel="0" collapsed="false">
      <c r="A6" s="19" t="s">
        <v>108</v>
      </c>
      <c r="B6" s="30"/>
    </row>
    <row r="7" customFormat="false" ht="19.5" hidden="false" customHeight="true" outlineLevel="0" collapsed="false">
      <c r="A7" s="31" t="s">
        <v>2</v>
      </c>
      <c r="B7" s="29" t="s">
        <v>109</v>
      </c>
    </row>
    <row r="8" customFormat="false" ht="31.5" hidden="false" customHeight="true" outlineLevel="0" collapsed="false">
      <c r="A8" s="31" t="s">
        <v>3</v>
      </c>
      <c r="B8" s="29" t="s">
        <v>110</v>
      </c>
    </row>
    <row r="9" customFormat="false" ht="19.5" hidden="false" customHeight="true" outlineLevel="0" collapsed="false">
      <c r="A9" s="31" t="s">
        <v>4</v>
      </c>
      <c r="B9" s="29" t="s">
        <v>111</v>
      </c>
    </row>
    <row r="10" customFormat="false" ht="31.5" hidden="false" customHeight="true" outlineLevel="0" collapsed="false">
      <c r="A10" s="31" t="s">
        <v>5</v>
      </c>
      <c r="B10" s="29" t="s">
        <v>112</v>
      </c>
    </row>
    <row r="11" customFormat="false" ht="19.5" hidden="false" customHeight="true" outlineLevel="0" collapsed="false">
      <c r="A11" s="31" t="s">
        <v>6</v>
      </c>
      <c r="B11" s="29" t="s">
        <v>113</v>
      </c>
    </row>
    <row r="12" customFormat="false" ht="31.5" hidden="false" customHeight="true" outlineLevel="0" collapsed="false">
      <c r="A12" s="31" t="s">
        <v>7</v>
      </c>
      <c r="B12" s="29" t="s">
        <v>114</v>
      </c>
    </row>
    <row r="13" customFormat="false" ht="31.5" hidden="false" customHeight="true" outlineLevel="0" collapsed="false">
      <c r="A13" s="31" t="s">
        <v>8</v>
      </c>
      <c r="B13" s="29" t="s">
        <v>115</v>
      </c>
    </row>
    <row r="14" customFormat="false" ht="19.5" hidden="false" customHeight="true" outlineLevel="0" collapsed="false">
      <c r="A14" s="31" t="s">
        <v>9</v>
      </c>
      <c r="B14" s="29" t="s">
        <v>116</v>
      </c>
    </row>
    <row r="15" customFormat="false" ht="31.5" hidden="false" customHeight="true" outlineLevel="0" collapsed="false">
      <c r="A15" s="31" t="s">
        <v>10</v>
      </c>
      <c r="B15" s="29" t="s">
        <v>117</v>
      </c>
    </row>
    <row r="16" customFormat="false" ht="15" hidden="false" customHeight="true" outlineLevel="0" collapsed="false">
      <c r="A16" s="28"/>
      <c r="B16" s="29"/>
    </row>
    <row r="17" customFormat="false" ht="15" hidden="false" customHeight="true" outlineLevel="0" collapsed="false">
      <c r="A17" s="19" t="s">
        <v>118</v>
      </c>
      <c r="B17" s="30"/>
    </row>
    <row r="18" customFormat="false" ht="31.5" hidden="false" customHeight="true" outlineLevel="0" collapsed="false">
      <c r="A18" s="28"/>
      <c r="B18" s="29" t="s">
        <v>119</v>
      </c>
    </row>
    <row r="19" customFormat="false" ht="31.5" hidden="false" customHeight="true" outlineLevel="0" collapsed="false">
      <c r="A19" s="28"/>
      <c r="B19" s="29" t="s">
        <v>120</v>
      </c>
    </row>
    <row r="20" customFormat="false" ht="31.5" hidden="false" customHeight="true" outlineLevel="0" collapsed="false">
      <c r="A20" s="28"/>
      <c r="B20" s="29" t="s">
        <v>121</v>
      </c>
    </row>
    <row r="21" customFormat="false" ht="31.5" hidden="false" customHeight="true" outlineLevel="0" collapsed="false">
      <c r="A21" s="28"/>
      <c r="B21" s="29" t="s">
        <v>122</v>
      </c>
    </row>
    <row r="22" customFormat="false" ht="31.5" hidden="false" customHeight="true" outlineLevel="0" collapsed="false">
      <c r="A22" s="28"/>
      <c r="B22" s="29" t="s">
        <v>123</v>
      </c>
    </row>
    <row r="23" customFormat="false" ht="15" hidden="false" customHeight="true" outlineLevel="0" collapsed="false">
      <c r="A23" s="28"/>
      <c r="B23" s="29"/>
    </row>
    <row r="24" customFormat="false" ht="15" hidden="false" customHeight="true" outlineLevel="0" collapsed="false">
      <c r="A24" s="19" t="s">
        <v>124</v>
      </c>
      <c r="B24" s="30"/>
    </row>
    <row r="25" customFormat="false" ht="31.5" hidden="false" customHeight="true" outlineLevel="0" collapsed="false">
      <c r="A25" s="28"/>
      <c r="B25" s="29" t="s">
        <v>125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2026-08-24T10:45:36Z</dcterms:created>
  <dc:creator>openpyxl</dc:creator>
  <dc:description/>
  <dc:language>en-US</dc:language>
  <cp:lastModifiedBy/>
  <dcterms:modified xsi:type="dcterms:W3CDTF">2026-08-24T10:45:56Z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