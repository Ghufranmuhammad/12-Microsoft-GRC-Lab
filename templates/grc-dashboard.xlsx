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isk Register" sheetId="2" state="visible" r:id="rId4"/>
    <sheet name="Control Status" sheetId="3" state="visible" r:id="rId5"/>
    <sheet name="Audit Findings" sheetId="4" state="visible" r:id="rId6"/>
    <sheet name="Remediation" sheetId="5" state="visible" r:id="rId7"/>
    <sheet name="KRI" sheetId="6" state="visible" r:id="rId8"/>
  </sheets>
  <definedNames>
    <definedName function="false" hidden="true" localSheetId="3" name="_xlnm._FilterDatabase" vbProcedure="false">'Audit Findings'!$A$4:$K$16</definedName>
    <definedName function="false" hidden="true" localSheetId="2" name="_xlnm._FilterDatabase" vbProcedure="false">'Control Status'!$A$4:$J$22</definedName>
    <definedName function="false" hidden="true" localSheetId="5" name="_xlnm._FilterDatabase" vbProcedure="false">KRI!$A$4:$I$14</definedName>
    <definedName function="false" hidden="true" localSheetId="4" name="_xlnm._FilterDatabase" vbProcedure="false">Remediation!$A$4:$L$16</definedName>
    <definedName function="false" hidden="true" localSheetId="1" name="_xlnm._FilterDatabase" vbProcedure="false">'Risk Register'!$A$4:$L$21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<sst xmlns="http://schemas.openxmlformats.org/spreadsheetml/2006/main" count="649" uniqueCount="348">
  <si>
    <t xml:space="preserve">GRC MASTER DASHBOARD</t>
  </si>
  <si>
    <t xml:space="preserve">As of: 23 August 2026  |  Risk Methodology: Likelihood (1-5) × Impact (1-5) → Score 1-25 (Low 1-4 | Medium 5-9 | High 10-15 | Critical 16-25)</t>
  </si>
  <si>
    <t xml:space="preserve">TOTAL RISKS</t>
  </si>
  <si>
    <t xml:space="preserve">HIGH / CRITICAL RISKS</t>
  </si>
  <si>
    <t xml:space="preserve">OPEN FINDINGS</t>
  </si>
  <si>
    <t xml:space="preserve">OVERDUE FINDINGS</t>
  </si>
  <si>
    <t xml:space="preserve">CONTROLS TESTED</t>
  </si>
  <si>
    <t xml:space="preserve">FAILED CONTROLS</t>
  </si>
  <si>
    <t xml:space="preserve">AVG COMPLIANCE %</t>
  </si>
  <si>
    <t xml:space="preserve">VENDORS ASSESSED</t>
  </si>
  <si>
    <t xml:space="preserve">12</t>
  </si>
  <si>
    <t xml:space="preserve">RISK LEVEL DISTRIBUTION</t>
  </si>
  <si>
    <t xml:space="preserve">CONTROL EFFECTIVENESS</t>
  </si>
  <si>
    <t xml:space="preserve">Level</t>
  </si>
  <si>
    <t xml:space="preserve">Count</t>
  </si>
  <si>
    <t xml:space="preserve">% of Total</t>
  </si>
  <si>
    <t xml:space="preserve">Result</t>
  </si>
  <si>
    <t xml:space="preserve">Critical</t>
  </si>
  <si>
    <t xml:space="preserve">Effective</t>
  </si>
  <si>
    <t xml:space="preserve">High</t>
  </si>
  <si>
    <t xml:space="preserve">Partially Effective</t>
  </si>
  <si>
    <t xml:space="preserve">Medium</t>
  </si>
  <si>
    <t xml:space="preserve">Ineffective</t>
  </si>
  <si>
    <t xml:space="preserve">Low</t>
  </si>
  <si>
    <t xml:space="preserve">Not Tested</t>
  </si>
  <si>
    <t xml:space="preserve">Total</t>
  </si>
  <si>
    <t xml:space="preserve">FINDINGS STATUS</t>
  </si>
  <si>
    <t xml:space="preserve">KRI STATUS SNAPSHOT</t>
  </si>
  <si>
    <t xml:space="preserve">Status</t>
  </si>
  <si>
    <t xml:space="preserve">Open</t>
  </si>
  <si>
    <t xml:space="preserve">Green</t>
  </si>
  <si>
    <t xml:space="preserve">In Progress</t>
  </si>
  <si>
    <t xml:space="preserve">Amber</t>
  </si>
  <si>
    <t xml:space="preserve">Closed</t>
  </si>
  <si>
    <t xml:space="preserve">Red</t>
  </si>
  <si>
    <t xml:space="preserve">TOP OPEN HIGH / CRITICAL RISKS</t>
  </si>
  <si>
    <t xml:space="preserve">Risk ID</t>
  </si>
  <si>
    <t xml:space="preserve">Risk</t>
  </si>
  <si>
    <t xml:space="preserve">Category</t>
  </si>
  <si>
    <t xml:space="preserve">Residual Score</t>
  </si>
  <si>
    <t xml:space="preserve">Risk Level</t>
  </si>
  <si>
    <t xml:space="preserve">Owner</t>
  </si>
  <si>
    <t xml:space="preserve">Treatment</t>
  </si>
  <si>
    <t xml:space="preserve">NOTES &amp; LEGEND</t>
  </si>
  <si>
    <t xml:space="preserve">• All KPI values and summary counts are formula-driven and will update when source data on other sheets changes.</t>
  </si>
  <si>
    <t xml:space="preserve">• Risk Score = Likelihood × Impact (1-5 scale). Residual Score reflects residual risk after controls. Risk Level derived from Residual Score.</t>
  </si>
  <si>
    <t xml:space="preserve">• Blue text = input values (editable). Black text = calculated formulas. Green text = cross-sheet references.</t>
  </si>
  <si>
    <t xml:space="preserve">• Overdue findings: Status ≠ Closed AND Today &gt; Due Date. Days Open uses TODAY() for open items.</t>
  </si>
  <si>
    <t xml:space="preserve">• KRI Status: Green = Within tolerance | Amber = Warning | Red = Breach (thresholds defined per indicator).</t>
  </si>
  <si>
    <t xml:space="preserve">RISK REGISTER</t>
  </si>
  <si>
    <t xml:space="preserve">Risk Scoring Methodology: Likelihood (1-5) × Impact (1-5) = Inherent Score (1-25). Residual Score = Inherent Score adjusted by control effectiveness. Classification: 1-4 Low | 5-9 Medium | 10-15 High | 16-25 Critical</t>
  </si>
  <si>
    <t xml:space="preserve">Likelihood</t>
  </si>
  <si>
    <t xml:space="preserve">Impact</t>
  </si>
  <si>
    <t xml:space="preserve">Inherent Score</t>
  </si>
  <si>
    <t xml:space="preserve">Control</t>
  </si>
  <si>
    <t xml:space="preserve">R-001</t>
  </si>
  <si>
    <t xml:space="preserve">Unauthorized access to production systems via compromised credentials</t>
  </si>
  <si>
    <t xml:space="preserve">Cybersecurity</t>
  </si>
  <si>
    <t xml:space="preserve">C-001: Multi-factor authentication</t>
  </si>
  <si>
    <t xml:space="preserve">IT Security</t>
  </si>
  <si>
    <t xml:space="preserve">Treat</t>
  </si>
  <si>
    <t xml:space="preserve">R-002</t>
  </si>
  <si>
    <t xml:space="preserve">Ransomware attack encrypting critical business data</t>
  </si>
  <si>
    <t xml:space="preserve">C-002: Endpoint detection &amp; response</t>
  </si>
  <si>
    <t xml:space="preserve">CISO</t>
  </si>
  <si>
    <t xml:space="preserve">R-003</t>
  </si>
  <si>
    <t xml:space="preserve">Data breach of customer PII due to misconfigured cloud storage</t>
  </si>
  <si>
    <t xml:space="preserve">Privacy</t>
  </si>
  <si>
    <t xml:space="preserve">C-003: Cloud security posture management</t>
  </si>
  <si>
    <t xml:space="preserve">Privacy Officer</t>
  </si>
  <si>
    <t xml:space="preserve">R-004</t>
  </si>
  <si>
    <t xml:space="preserve">Failure of key third-party vendor leading to service disruption</t>
  </si>
  <si>
    <t xml:space="preserve">Third-Party</t>
  </si>
  <si>
    <t xml:space="preserve">C-004: Vendor risk assessment program</t>
  </si>
  <si>
    <t xml:space="preserve">Procurement</t>
  </si>
  <si>
    <t xml:space="preserve">R-005</t>
  </si>
  <si>
    <t xml:space="preserve">Insider threat - malicious data exfiltration by privileged user</t>
  </si>
  <si>
    <t xml:space="preserve">C-005: Privileged access management</t>
  </si>
  <si>
    <t xml:space="preserve">R-006</t>
  </si>
  <si>
    <t xml:space="preserve">Non-compliance with GDPR / data protection regulations</t>
  </si>
  <si>
    <t xml:space="preserve">Compliance</t>
  </si>
  <si>
    <t xml:space="preserve">C-006: Privacy impact assessments</t>
  </si>
  <si>
    <t xml:space="preserve">R-007</t>
  </si>
  <si>
    <t xml:space="preserve">Loss of key personnel in critical operations roles</t>
  </si>
  <si>
    <t xml:space="preserve">Operational</t>
  </si>
  <si>
    <t xml:space="preserve">C-007: Succession planning &amp; cross-training</t>
  </si>
  <si>
    <t xml:space="preserve">HR</t>
  </si>
  <si>
    <t xml:space="preserve">Tolerate</t>
  </si>
  <si>
    <t xml:space="preserve">R-008</t>
  </si>
  <si>
    <t xml:space="preserve">Phishing campaign resulting in credential compromise</t>
  </si>
  <si>
    <t xml:space="preserve">C-008: Security awareness training</t>
  </si>
  <si>
    <t xml:space="preserve">R-009</t>
  </si>
  <si>
    <t xml:space="preserve">Inadequate backup recovery leading to extended downtime</t>
  </si>
  <si>
    <t xml:space="preserve">C-009: Backup &amp; disaster recovery testing</t>
  </si>
  <si>
    <t xml:space="preserve">IT Operations</t>
  </si>
  <si>
    <t xml:space="preserve">R-010</t>
  </si>
  <si>
    <t xml:space="preserve">API vulnerability exploited by external attacker</t>
  </si>
  <si>
    <t xml:space="preserve">C-010: API security gateway &amp; scanning</t>
  </si>
  <si>
    <t xml:space="preserve">AppSec</t>
  </si>
  <si>
    <t xml:space="preserve">R-011</t>
  </si>
  <si>
    <t xml:space="preserve">Physical security breach at data center</t>
  </si>
  <si>
    <t xml:space="preserve">Physical</t>
  </si>
  <si>
    <t xml:space="preserve">C-011: Access control &amp; CCTV monitoring</t>
  </si>
  <si>
    <t xml:space="preserve">Facilities</t>
  </si>
  <si>
    <t xml:space="preserve">R-012</t>
  </si>
  <si>
    <t xml:space="preserve">Supply chain compromise introducing malicious code</t>
  </si>
  <si>
    <t xml:space="preserve">C-012: Software bill of materials (SBOM)</t>
  </si>
  <si>
    <t xml:space="preserve">R-013</t>
  </si>
  <si>
    <t xml:space="preserve">Incomplete audit trail for privileged actions</t>
  </si>
  <si>
    <t xml:space="preserve">C-013: Centralized logging &amp; SIEM</t>
  </si>
  <si>
    <t xml:space="preserve">R-014</t>
  </si>
  <si>
    <t xml:space="preserve">Failure to meet contractual SLAs with major clients</t>
  </si>
  <si>
    <t xml:space="preserve">Business</t>
  </si>
  <si>
    <t xml:space="preserve">C-014: Service level monitoring</t>
  </si>
  <si>
    <t xml:space="preserve">Operations</t>
  </si>
  <si>
    <t xml:space="preserve">R-015</t>
  </si>
  <si>
    <t xml:space="preserve">Shadow IT introducing unapproved SaaS applications</t>
  </si>
  <si>
    <t xml:space="preserve">C-015: CASB / cloud access security broker</t>
  </si>
  <si>
    <t xml:space="preserve">R-016</t>
  </si>
  <si>
    <t xml:space="preserve">Inadequate incident response capability for major breach</t>
  </si>
  <si>
    <t xml:space="preserve">C-016: Incident response plan &amp; tabletop</t>
  </si>
  <si>
    <t xml:space="preserve">R-017</t>
  </si>
  <si>
    <t xml:space="preserve">Regulatory fines from delayed breach notification</t>
  </si>
  <si>
    <t xml:space="preserve">C-017: Breach notification procedures</t>
  </si>
  <si>
    <t xml:space="preserve">Legal</t>
  </si>
  <si>
    <t xml:space="preserve">CONTROL STATUS</t>
  </si>
  <si>
    <t xml:space="preserve">Control effectiveness is assessed as: Effective | Partially Effective | Ineffective | Not Tested. Frequency drives Next Test date.</t>
  </si>
  <si>
    <t xml:space="preserve">Control ID</t>
  </si>
  <si>
    <t xml:space="preserve">Framework</t>
  </si>
  <si>
    <t xml:space="preserve">Frequency</t>
  </si>
  <si>
    <t xml:space="preserve">Last Test</t>
  </si>
  <si>
    <t xml:space="preserve">Evidence Status</t>
  </si>
  <si>
    <t xml:space="preserve">Effectiveness</t>
  </si>
  <si>
    <t xml:space="preserve">Next Test</t>
  </si>
  <si>
    <t xml:space="preserve">C-001</t>
  </si>
  <si>
    <t xml:space="preserve">Multi-factor authentication enforced for all privileged and remote access</t>
  </si>
  <si>
    <t xml:space="preserve">ISO 27001 / NIST CSF</t>
  </si>
  <si>
    <t xml:space="preserve">Quarterly</t>
  </si>
  <si>
    <t xml:space="preserve">Complete</t>
  </si>
  <si>
    <t xml:space="preserve">C-002</t>
  </si>
  <si>
    <t xml:space="preserve">Endpoint detection and response (EDR) deployed on all endpoints</t>
  </si>
  <si>
    <t xml:space="preserve">NIST CSF</t>
  </si>
  <si>
    <t xml:space="preserve">Monthly</t>
  </si>
  <si>
    <t xml:space="preserve">C-003</t>
  </si>
  <si>
    <t xml:space="preserve">Cloud security posture management (CSPM) continuous monitoring</t>
  </si>
  <si>
    <t xml:space="preserve">ISO 27001</t>
  </si>
  <si>
    <t xml:space="preserve">Cloud Team</t>
  </si>
  <si>
    <t xml:space="preserve">Continuous</t>
  </si>
  <si>
    <t xml:space="preserve">Partial</t>
  </si>
  <si>
    <t xml:space="preserve">C-004</t>
  </si>
  <si>
    <t xml:space="preserve">Annual vendor risk assessment for critical suppliers</t>
  </si>
  <si>
    <t xml:space="preserve">ISO 27001 / SOC2</t>
  </si>
  <si>
    <t xml:space="preserve">Annual</t>
  </si>
  <si>
    <t xml:space="preserve">C-005</t>
  </si>
  <si>
    <t xml:space="preserve">Privileged access management (PAM) with just-in-time access</t>
  </si>
  <si>
    <t xml:space="preserve">C-006</t>
  </si>
  <si>
    <t xml:space="preserve">Privacy impact assessments for new data processing activities</t>
  </si>
  <si>
    <t xml:space="preserve">GDPR / ISO 27701</t>
  </si>
  <si>
    <t xml:space="preserve">Per Change</t>
  </si>
  <si>
    <t xml:space="preserve">C-007</t>
  </si>
  <si>
    <t xml:space="preserve">Succession planning and cross-training for key roles</t>
  </si>
  <si>
    <t xml:space="preserve">ISO 22301</t>
  </si>
  <si>
    <t xml:space="preserve">Missing</t>
  </si>
  <si>
    <t xml:space="preserve">C-008</t>
  </si>
  <si>
    <t xml:space="preserve">Mandatory security awareness training for all employees</t>
  </si>
  <si>
    <t xml:space="preserve">C-009</t>
  </si>
  <si>
    <t xml:space="preserve">Backup and disaster recovery testing (full restore)</t>
  </si>
  <si>
    <t xml:space="preserve">Semi-Annual</t>
  </si>
  <si>
    <t xml:space="preserve">C-010</t>
  </si>
  <si>
    <t xml:space="preserve">API security gateway with rate limiting and schema validation</t>
  </si>
  <si>
    <t xml:space="preserve">OWASP / NIST</t>
  </si>
  <si>
    <t xml:space="preserve">C-011</t>
  </si>
  <si>
    <t xml:space="preserve">Physical access control and CCTV monitoring at data centers</t>
  </si>
  <si>
    <t xml:space="preserve">C-012</t>
  </si>
  <si>
    <t xml:space="preserve">Software bill of materials (SBOM) and dependency scanning</t>
  </si>
  <si>
    <t xml:space="preserve">NIST SSDF</t>
  </si>
  <si>
    <t xml:space="preserve">Per Release</t>
  </si>
  <si>
    <t xml:space="preserve">C-013</t>
  </si>
  <si>
    <t xml:space="preserve">Centralized logging and SIEM with 90-day retention</t>
  </si>
  <si>
    <t xml:space="preserve">ISO 27001 / NIST</t>
  </si>
  <si>
    <t xml:space="preserve">C-014</t>
  </si>
  <si>
    <t xml:space="preserve">Service level agreement monitoring and alerting</t>
  </si>
  <si>
    <t xml:space="preserve">ISO 20000</t>
  </si>
  <si>
    <t xml:space="preserve">C-015</t>
  </si>
  <si>
    <t xml:space="preserve">Cloud access security broker (CASB) for SaaS visibility</t>
  </si>
  <si>
    <t xml:space="preserve">C-016</t>
  </si>
  <si>
    <t xml:space="preserve">Incident response plan with annual tabletop exercise</t>
  </si>
  <si>
    <t xml:space="preserve">NIST CSF / ISO 27001</t>
  </si>
  <si>
    <t xml:space="preserve">C-017</t>
  </si>
  <si>
    <t xml:space="preserve">Breach notification procedures aligned to regulatory timelines</t>
  </si>
  <si>
    <t xml:space="preserve">GDPR / CCPA</t>
  </si>
  <si>
    <t xml:space="preserve">C-018</t>
  </si>
  <si>
    <t xml:space="preserve">Network segmentation between production and corporate environments</t>
  </si>
  <si>
    <t xml:space="preserve">Network Team</t>
  </si>
  <si>
    <t xml:space="preserve">AUDIT FINDINGS</t>
  </si>
  <si>
    <t xml:space="preserve">Days Open = TODAY() − Date Identified. Overdue? = IF(AND(Status&lt;&gt;"Closed", TODAY()&gt;Due Date), "Yes", "No")</t>
  </si>
  <si>
    <t xml:space="preserve">Finding ID</t>
  </si>
  <si>
    <t xml:space="preserve">Finding</t>
  </si>
  <si>
    <t xml:space="preserve">Severity</t>
  </si>
  <si>
    <t xml:space="preserve">Date Identified</t>
  </si>
  <si>
    <t xml:space="preserve">Due Date</t>
  </si>
  <si>
    <t xml:space="preserve">Days Open</t>
  </si>
  <si>
    <t xml:space="preserve">Overdue?</t>
  </si>
  <si>
    <t xml:space="preserve">Corrective Action</t>
  </si>
  <si>
    <t xml:space="preserve">F-001</t>
  </si>
  <si>
    <t xml:space="preserve">Privileged accounts without MFA in production environment</t>
  </si>
  <si>
    <t xml:space="preserve">Enforce MFA for all privileged accounts and remediate exceptions</t>
  </si>
  <si>
    <t xml:space="preserve">F-002</t>
  </si>
  <si>
    <t xml:space="preserve">EDR coverage gaps on 12% of endpoints in remote workforce</t>
  </si>
  <si>
    <t xml:space="preserve">Deploy EDR agents to remaining endpoints and verify health</t>
  </si>
  <si>
    <t xml:space="preserve">F-003</t>
  </si>
  <si>
    <t xml:space="preserve">CSPM alerts not reviewed within SLA for critical misconfigurations</t>
  </si>
  <si>
    <t xml:space="preserve">Implement automated triage and 24h SLA for critical findings</t>
  </si>
  <si>
    <t xml:space="preserve">F-004</t>
  </si>
  <si>
    <t xml:space="preserve">Critical vendor assessment expired &gt;90 days without renewal</t>
  </si>
  <si>
    <t xml:space="preserve">Complete reassessment of Vendor-X and update risk score</t>
  </si>
  <si>
    <t xml:space="preserve">F-005</t>
  </si>
  <si>
    <t xml:space="preserve">Standing privileged access still granted instead of JIT</t>
  </si>
  <si>
    <t xml:space="preserve">Migrate remaining standing privileges to PAM JIT model</t>
  </si>
  <si>
    <t xml:space="preserve">F-006</t>
  </si>
  <si>
    <t xml:space="preserve">Backup restore test failed RTO target by 4 hours</t>
  </si>
  <si>
    <t xml:space="preserve">Optimize restore procedures and re-test full recovery scenario</t>
  </si>
  <si>
    <t xml:space="preserve">F-007</t>
  </si>
  <si>
    <t xml:space="preserve">SBOM not generated for 3 critical microservices</t>
  </si>
  <si>
    <t xml:space="preserve">Integrate SBOM generation into CI pipeline for all services</t>
  </si>
  <si>
    <t xml:space="preserve">F-008</t>
  </si>
  <si>
    <t xml:space="preserve">CASB not detecting shadow IT SaaS applications effectively</t>
  </si>
  <si>
    <t xml:space="preserve">Tune CASB policies and enable discovery mode for all traffic</t>
  </si>
  <si>
    <t xml:space="preserve">F-009</t>
  </si>
  <si>
    <t xml:space="preserve">Incident response tabletop findings not fully remediated</t>
  </si>
  <si>
    <t xml:space="preserve">Update IR playbooks and complete outstanding action items</t>
  </si>
  <si>
    <t xml:space="preserve">F-010</t>
  </si>
  <si>
    <t xml:space="preserve">Incomplete logging of admin actions on legacy systems</t>
  </si>
  <si>
    <t xml:space="preserve">Enable audit logging on remaining legacy platforms and forward to SIEM</t>
  </si>
  <si>
    <t xml:space="preserve">F-011</t>
  </si>
  <si>
    <t xml:space="preserve">Security awareness training completion rate below 85% target</t>
  </si>
  <si>
    <t xml:space="preserve">Escalate non-completers to managers and enforce access restrictions</t>
  </si>
  <si>
    <t xml:space="preserve">F-012</t>
  </si>
  <si>
    <t xml:space="preserve">Network segmentation gaps between DMZ and internal apps</t>
  </si>
  <si>
    <t xml:space="preserve">Implement micro-segmentation rules and validate with penetration test</t>
  </si>
  <si>
    <t xml:space="preserve">REMEDIATION TRACKER</t>
  </si>
  <si>
    <t xml:space="preserve">Tracks corrective actions linked to audit findings. Completion % drives status. Retest required after material control changes.</t>
  </si>
  <si>
    <t xml:space="preserve">Action ID</t>
  </si>
  <si>
    <t xml:space="preserve">Action</t>
  </si>
  <si>
    <t xml:space="preserve">Priority</t>
  </si>
  <si>
    <t xml:space="preserve">Target Date</t>
  </si>
  <si>
    <t xml:space="preserve">Completion %</t>
  </si>
  <si>
    <t xml:space="preserve">Evidence</t>
  </si>
  <si>
    <t xml:space="preserve">Retest Required</t>
  </si>
  <si>
    <t xml:space="preserve">Retest Result</t>
  </si>
  <si>
    <t xml:space="preserve">Closure Date</t>
  </si>
  <si>
    <t xml:space="preserve">A-001</t>
  </si>
  <si>
    <t xml:space="preserve">Deploy MFA to remaining 47 privileged accounts and remove exceptions</t>
  </si>
  <si>
    <t xml:space="preserve">MFA enrollment report + exception log</t>
  </si>
  <si>
    <t xml:space="preserve">Yes</t>
  </si>
  <si>
    <t xml:space="preserve">A-002</t>
  </si>
  <si>
    <t xml:space="preserve">Roll out EDR agents to 180 remote endpoints via MDM</t>
  </si>
  <si>
    <t xml:space="preserve">EDR console coverage dashboard</t>
  </si>
  <si>
    <t xml:space="preserve">A-003</t>
  </si>
  <si>
    <t xml:space="preserve">Configure automated critical alert routing to on-call Slack channel</t>
  </si>
  <si>
    <t xml:space="preserve">Alert configuration screenshots</t>
  </si>
  <si>
    <t xml:space="preserve">A-004</t>
  </si>
  <si>
    <t xml:space="preserve">Complete security questionnaire and on-site assessment for Vendor-X</t>
  </si>
  <si>
    <t xml:space="preserve">Completed assessment scorecard</t>
  </si>
  <si>
    <t xml:space="preserve">No</t>
  </si>
  <si>
    <t xml:space="preserve">A-005</t>
  </si>
  <si>
    <t xml:space="preserve">Migrate 23 standing admin accounts to PAM JIT workflow</t>
  </si>
  <si>
    <t xml:space="preserve">PAM migration tracker</t>
  </si>
  <si>
    <t xml:space="preserve">A-006</t>
  </si>
  <si>
    <t xml:space="preserve">Tune backup restore scripts and re-run full DR test</t>
  </si>
  <si>
    <t xml:space="preserve">DR test report with RTO metrics</t>
  </si>
  <si>
    <t xml:space="preserve">A-007</t>
  </si>
  <si>
    <t xml:space="preserve">Add SBOM generation step to GitHub Actions for 3 microservices</t>
  </si>
  <si>
    <t xml:space="preserve">Pipeline YAML + sample SBOM</t>
  </si>
  <si>
    <t xml:space="preserve">A-008</t>
  </si>
  <si>
    <t xml:space="preserve">Enable CASB discovery mode and tune false-positive rules</t>
  </si>
  <si>
    <t xml:space="preserve">CASB discovery report</t>
  </si>
  <si>
    <t xml:space="preserve">A-009</t>
  </si>
  <si>
    <t xml:space="preserve">Update IR playbooks based on tabletop lessons learned</t>
  </si>
  <si>
    <t xml:space="preserve">Updated IR playbook v2.1</t>
  </si>
  <si>
    <t xml:space="preserve">A-010</t>
  </si>
  <si>
    <t xml:space="preserve">Enable detailed audit logging on 4 legacy Windows servers</t>
  </si>
  <si>
    <t xml:space="preserve">Event log configuration evidence</t>
  </si>
  <si>
    <t xml:space="preserve">A-011</t>
  </si>
  <si>
    <t xml:space="preserve">Enforce training completion gate for system access renewal</t>
  </si>
  <si>
    <t xml:space="preserve">Training LMS completion report</t>
  </si>
  <si>
    <t xml:space="preserve">N/A</t>
  </si>
  <si>
    <t xml:space="preserve">A-012</t>
  </si>
  <si>
    <t xml:space="preserve">Implement additional firewall rules for DMZ-internal isolation</t>
  </si>
  <si>
    <t xml:space="preserve">Firewall change tickets + pen test results</t>
  </si>
  <si>
    <t xml:space="preserve">KEY RISK INDICATORS (KRI)</t>
  </si>
  <si>
    <t xml:space="preserve">Status: Green = Within tolerance | Amber = Warning | Red = Breach. Thresholds define tolerance bands.</t>
  </si>
  <si>
    <t xml:space="preserve">KRI ID</t>
  </si>
  <si>
    <t xml:space="preserve">KRI Name</t>
  </si>
  <si>
    <t xml:space="preserve">Definition</t>
  </si>
  <si>
    <t xml:space="preserve">Calculation</t>
  </si>
  <si>
    <t xml:space="preserve">Current Value</t>
  </si>
  <si>
    <t xml:space="preserve">Threshold</t>
  </si>
  <si>
    <t xml:space="preserve">KRI-001</t>
  </si>
  <si>
    <t xml:space="preserve">Privileged accounts without MFA</t>
  </si>
  <si>
    <t xml:space="preserve">% of privileged accounts that do not have MFA enabled</t>
  </si>
  <si>
    <t xml:space="preserve">(Privileged accounts without MFA / Total privileged accounts) × 100</t>
  </si>
  <si>
    <t xml:space="preserve">≤ 5% Green | 5-10% Amber | &gt;10% Red</t>
  </si>
  <si>
    <t xml:space="preserve">KRI-002</t>
  </si>
  <si>
    <t xml:space="preserve">Critical vulnerabilities &gt;30 days</t>
  </si>
  <si>
    <t xml:space="preserve">Number of critical severity vulnerabilities open longer than 30 days</t>
  </si>
  <si>
    <t xml:space="preserve">Count of Critical CVEs where (Today − First Detected) &gt; 30</t>
  </si>
  <si>
    <t xml:space="preserve">≤ 3 Green | 4-8 Amber | &gt;8 Red</t>
  </si>
  <si>
    <t xml:space="preserve">Weekly</t>
  </si>
  <si>
    <t xml:space="preserve">KRI-003</t>
  </si>
  <si>
    <t xml:space="preserve">Overdue audit findings %</t>
  </si>
  <si>
    <t xml:space="preserve">Percentage of open audit findings past their due date</t>
  </si>
  <si>
    <t xml:space="preserve">(Overdue findings / Total open findings) × 100</t>
  </si>
  <si>
    <t xml:space="preserve">≤ 10% Green | 10-25% Amber | &gt;25% Red</t>
  </si>
  <si>
    <t xml:space="preserve">KRI-004</t>
  </si>
  <si>
    <t xml:space="preserve">Vendors without current assessment</t>
  </si>
  <si>
    <t xml:space="preserve">% of critical vendors lacking a security assessment within the last 12 months</t>
  </si>
  <si>
    <t xml:space="preserve">(Critical vendors without current assessment / Total critical vendors) × 100</t>
  </si>
  <si>
    <t xml:space="preserve">≤ 5% Green | 5-15% Amber | &gt;15% Red</t>
  </si>
  <si>
    <t xml:space="preserve">KRI-005</t>
  </si>
  <si>
    <t xml:space="preserve">Security incidents (monthly)</t>
  </si>
  <si>
    <t xml:space="preserve">Number of confirmed security incidents in the reporting period</t>
  </si>
  <si>
    <t xml:space="preserve">Count of incidents classified as Security Incident in SIEM / ticketing</t>
  </si>
  <si>
    <t xml:space="preserve">≤ 2 Green | 3-5 Amber | &gt;5 Red</t>
  </si>
  <si>
    <t xml:space="preserve">KRI-006</t>
  </si>
  <si>
    <t xml:space="preserve">Security awareness training completion</t>
  </si>
  <si>
    <t xml:space="preserve">% of employees who have completed mandatory security awareness training</t>
  </si>
  <si>
    <t xml:space="preserve">(Employees completed training / Total active employees) × 100</t>
  </si>
  <si>
    <t xml:space="preserve">≥ 95% Green | 85-94% Amber | &lt;85% Red</t>
  </si>
  <si>
    <t xml:space="preserve">KRI-007</t>
  </si>
  <si>
    <t xml:space="preserve">Controls tested on schedule</t>
  </si>
  <si>
    <t xml:space="preserve">% of controls whose last test date is within the required frequency window</t>
  </si>
  <si>
    <t xml:space="preserve">(Controls tested on time / Total controls) × 100</t>
  </si>
  <si>
    <t xml:space="preserve">≥ 90% Green | 75-89% Amber | &lt;75% Red</t>
  </si>
  <si>
    <t xml:space="preserve">KRI-008</t>
  </si>
  <si>
    <t xml:space="preserve">Unresolved high/critical findings</t>
  </si>
  <si>
    <t xml:space="preserve">Number of High or Critical severity findings still open</t>
  </si>
  <si>
    <t xml:space="preserve">Count of findings where Severity in (High, Critical) AND Status ≠ Closed</t>
  </si>
  <si>
    <t xml:space="preserve">KRI-009</t>
  </si>
  <si>
    <t xml:space="preserve">Mean time to remediate critical findings</t>
  </si>
  <si>
    <t xml:space="preserve">Average days from identification to closure for Critical findings</t>
  </si>
  <si>
    <t xml:space="preserve">Average(Closure Date − Date Identified) for Critical closed findings</t>
  </si>
  <si>
    <t xml:space="preserve">≤ 30 days Green | 31-60 Amber | &gt;60 Red</t>
  </si>
  <si>
    <t xml:space="preserve">KRI-010</t>
  </si>
  <si>
    <t xml:space="preserve">Failed control tests</t>
  </si>
  <si>
    <t xml:space="preserve">Number of controls with most recent test result = Ineffective</t>
  </si>
  <si>
    <t xml:space="preserve">Count of controls where Result = Ineffective</t>
  </si>
  <si>
    <t xml:space="preserve">0 Green | 1-2 Amber | ≥3 Red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</si>
</sst>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yyyy\-mm\-dd"/>
    <numFmt numFmtId="168" formatCode="0%"/>
    <numFmt numFmtId="169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8"/>
      <color rgb="FF1F4E7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6EAF8"/>
        <bgColor rgb="FFD1F2EB"/>
      </patternFill>
    </fill>
    <fill>
      <patternFill patternType="solid">
        <fgColor rgb="FFF5B7B1"/>
        <bgColor rgb="FFF1948A"/>
      </patternFill>
    </fill>
    <fill>
      <patternFill patternType="solid">
        <fgColor rgb="FFFDEBD0"/>
        <bgColor rgb="FFF9E79F"/>
      </patternFill>
    </fill>
    <fill>
      <patternFill patternType="solid">
        <fgColor rgb="FFD5F5E3"/>
        <bgColor rgb="FFD1F2EB"/>
      </patternFill>
    </fill>
    <fill>
      <patternFill patternType="solid">
        <fgColor rgb="FFD1F2EB"/>
        <bgColor rgb="FFD5F5E3"/>
      </patternFill>
    </fill>
    <fill>
      <patternFill patternType="solid">
        <fgColor rgb="FFE8DAEF"/>
        <bgColor rgb="FFD5D8DC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2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27AE60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ill>
        <patternFill patternType="solid">
          <fgColor rgb="FFF39C12"/>
          <bgColor rgb="FF000000"/>
        </patternFill>
      </fill>
    </dxf>
    <dxf>
      <fill>
        <patternFill>
          <bgColor rgb="FFC0392B"/>
        </patternFill>
      </fill>
    </dxf>
    <dxf>
      <fill>
        <patternFill>
          <bgColor rgb="FFE74C3C"/>
        </patternFill>
      </fill>
    </dxf>
    <dxf>
      <fill>
        <patternFill>
          <bgColor rgb="FFF39C12"/>
        </patternFill>
      </fill>
    </dxf>
    <dxf>
      <fill>
        <patternFill>
          <bgColor rgb="FF27AE60"/>
        </patternFill>
      </fill>
    </dxf>
    <dxf>
      <fill>
        <patternFill patternType="solid">
          <fgColor rgb="FF82E0AA"/>
          <bgColor rgb="FF000000"/>
        </patternFill>
      </fill>
    </dxf>
    <dxf>
      <fill>
        <patternFill patternType="solid">
          <fgColor rgb="FFD5D8DC"/>
          <bgColor rgb="FF000000"/>
        </patternFill>
      </fill>
    </dxf>
    <dxf>
      <fill>
        <patternFill patternType="solid">
          <fgColor rgb="FFF1948A"/>
          <bgColor rgb="FF000000"/>
        </patternFill>
      </fill>
    </dxf>
    <dxf>
      <fill>
        <patternFill patternType="solid">
          <fgColor rgb="FFF9E79F"/>
          <bgColor rgb="FF000000"/>
        </patternFill>
      </fill>
    </dxf>
    <dxf>
      <fill>
        <patternFill>
          <bgColor rgb="FF82E0AA"/>
        </patternFill>
      </fill>
    </dxf>
    <dxf>
      <fill>
        <patternFill>
          <bgColor rgb="FFF9E79F"/>
        </patternFill>
      </fill>
    </dxf>
    <dxf>
      <fill>
        <patternFill>
          <bgColor rgb="FFF1948A"/>
        </patternFill>
      </fill>
    </dxf>
    <dxf>
      <fill>
        <patternFill>
          <bgColor rgb="FFD5D8DC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F5B7B1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fgColor rgb="FFEC7063"/>
          <bgColor rgb="FF000000"/>
        </patternFill>
      </fill>
    </dxf>
    <dxf>
      <fill>
        <patternFill>
          <bgColor rgb="FFF5B7B1"/>
        </patternFill>
      </fill>
    </dxf>
    <dxf>
      <fill>
        <patternFill>
          <bgColor rgb="FFFDEBD0"/>
        </patternFill>
      </fill>
    </dxf>
    <dxf>
      <fill>
        <patternFill>
          <bgColor rgb="FFD5F5E3"/>
        </patternFill>
      </fill>
    </dxf>
    <dxf>
      <fill>
        <patternFill>
          <bgColor rgb="FFEC7063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C0392B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E74C3C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F39C12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27AE6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DEBD0"/>
      <rgbColor rgb="FFD1F2EB"/>
      <rgbColor rgb="FF660066"/>
      <rgbColor rgb="FFF1948A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9E79F"/>
      <rgbColor rgb="FF82E0AA"/>
      <rgbColor rgb="FFEC7063"/>
      <rgbColor rgb="FFE8DAEF"/>
      <rgbColor rgb="FFF5B7B1"/>
      <rgbColor rgb="FF2E75B6"/>
      <rgbColor rgb="FF33CCCC"/>
      <rgbColor rgb="FF99CC00"/>
      <rgbColor rgb="FFFFCC00"/>
      <rgbColor rgb="FFF39C12"/>
      <rgbColor rgb="FFE74C3C"/>
      <rgbColor rgb="FF595959"/>
      <rgbColor rgb="FF969696"/>
      <rgbColor rgb="FF003366"/>
      <rgbColor rgb="FF27AE60"/>
      <rgbColor rgb="FF003300"/>
      <rgbColor rgb="FF333300"/>
      <rgbColor rgb="FFC0392B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4"/>
    <col collapsed="false" customWidth="true" hidden="false" outlineLevel="0" max="5" min="5" style="1" width="18"/>
    <col collapsed="false" customWidth="true" hidden="false" outlineLevel="0" max="7" min="6" style="1" width="12"/>
    <col collapsed="false" customWidth="true" hidden="false" outlineLevel="0" max="8" min="8" style="1" width="14"/>
    <col collapsed="false" customWidth="true" hidden="false" outlineLevel="0" max="9" min="9" style="1" width="1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8" hidden="false" customHeight="true" outlineLevel="0" collapsed="false">
      <c r="B4" s="4" t="s">
        <v>2</v>
      </c>
      <c r="C4" s="4"/>
      <c r="D4" s="5" t="s">
        <v>3</v>
      </c>
      <c r="E4" s="5"/>
      <c r="F4" s="6" t="s">
        <v>4</v>
      </c>
      <c r="G4" s="6"/>
      <c r="H4" s="5" t="s">
        <v>5</v>
      </c>
      <c r="I4" s="5"/>
    </row>
    <row r="5" customFormat="false" ht="39.75" hidden="false" customHeight="true" outlineLevel="0" collapsed="false">
      <c r="B5" s="7" t="n">
        <f aca="false">COUNTA('Risk Register'!A5:A21)</f>
        <v>17</v>
      </c>
      <c r="C5" s="7"/>
      <c r="D5" s="8" t="n">
        <f aca="false">COUNTIF('Risk Register'!I5:I21,"High")+COUNTIF('Risk Register'!I5:I21,"Critical")</f>
        <v>4</v>
      </c>
      <c r="E5" s="8"/>
      <c r="F5" s="9" t="n">
        <f aca="false">COUNTIF('Audit Findings'!H5:H16,"Open")+COUNTIF('Audit Findings'!H5:H16,"In Progress")</f>
        <v>10</v>
      </c>
      <c r="G5" s="9"/>
      <c r="H5" s="8" t="n">
        <f aca="false">COUNTIF('Audit Findings'!J5:J16,"Yes")</f>
        <v>7</v>
      </c>
      <c r="I5" s="8"/>
    </row>
    <row r="7" customFormat="false" ht="18" hidden="false" customHeight="true" outlineLevel="0" collapsed="false">
      <c r="B7" s="10" t="s">
        <v>6</v>
      </c>
      <c r="C7" s="10"/>
      <c r="D7" s="5" t="s">
        <v>7</v>
      </c>
      <c r="E7" s="5"/>
      <c r="F7" s="11" t="s">
        <v>8</v>
      </c>
      <c r="G7" s="11"/>
      <c r="H7" s="12" t="s">
        <v>9</v>
      </c>
      <c r="I7" s="12"/>
    </row>
    <row r="8" customFormat="false" ht="39.75" hidden="false" customHeight="true" outlineLevel="0" collapsed="false">
      <c r="B8" s="13" t="n">
        <f aca="false">COUNTIF('Control Status'!G5:G22,"&lt;&gt;Not Tested")</f>
        <v>17</v>
      </c>
      <c r="C8" s="13"/>
      <c r="D8" s="8" t="n">
        <f aca="false">COUNTIF('Control Status'!G5:G22,"Ineffective")</f>
        <v>1</v>
      </c>
      <c r="E8" s="8"/>
      <c r="F8" s="14" t="n">
        <f aca="false">IFERROR(COUNTIF('Control Status'!I5:I22,"Effective")/COUNTA('Control Status'!I5:I22),0)</f>
        <v>0.611111111111111</v>
      </c>
      <c r="G8" s="14"/>
      <c r="H8" s="15" t="s">
        <v>10</v>
      </c>
      <c r="I8" s="15"/>
    </row>
    <row r="10" customFormat="false" ht="15" hidden="false" customHeight="true" outlineLevel="0" collapsed="false">
      <c r="A10" s="16" t="s">
        <v>11</v>
      </c>
      <c r="B10" s="16"/>
      <c r="C10" s="16"/>
      <c r="E10" s="16" t="s">
        <v>12</v>
      </c>
      <c r="F10" s="16"/>
      <c r="G10" s="16"/>
    </row>
    <row r="11" customFormat="false" ht="15" hidden="false" customHeight="true" outlineLevel="0" collapsed="false">
      <c r="A11" s="17" t="s">
        <v>13</v>
      </c>
      <c r="B11" s="17" t="s">
        <v>14</v>
      </c>
      <c r="C11" s="17" t="s">
        <v>15</v>
      </c>
      <c r="E11" s="17" t="s">
        <v>16</v>
      </c>
      <c r="F11" s="17" t="s">
        <v>14</v>
      </c>
      <c r="G11" s="17" t="s">
        <v>15</v>
      </c>
    </row>
    <row r="12" customFormat="false" ht="15" hidden="false" customHeight="true" outlineLevel="0" collapsed="false">
      <c r="A12" s="18" t="s">
        <v>17</v>
      </c>
      <c r="B12" s="18" t="n">
        <f aca="false">COUNTIF('Risk Register'!I5:I21,A12)</f>
        <v>1</v>
      </c>
      <c r="C12" s="19" t="n">
        <f aca="false">IFERROR(B12/B16,0)</f>
        <v>0.0588235294117647</v>
      </c>
      <c r="E12" s="18" t="s">
        <v>18</v>
      </c>
      <c r="F12" s="18" t="n">
        <f aca="false">COUNTIF('Control Status'!I5:I22,E12)</f>
        <v>11</v>
      </c>
      <c r="G12" s="19" t="n">
        <f aca="false">IFERROR(F12/F16,0)</f>
        <v>0.611111111111111</v>
      </c>
    </row>
    <row r="13" customFormat="false" ht="15" hidden="false" customHeight="true" outlineLevel="0" collapsed="false">
      <c r="A13" s="18" t="s">
        <v>19</v>
      </c>
      <c r="B13" s="18" t="n">
        <f aca="false">COUNTIF('Risk Register'!I5:I21,A13)</f>
        <v>3</v>
      </c>
      <c r="C13" s="19" t="n">
        <f aca="false">IFERROR(B13/B16,0)</f>
        <v>0.176470588235294</v>
      </c>
      <c r="E13" s="18" t="s">
        <v>20</v>
      </c>
      <c r="F13" s="18" t="n">
        <f aca="false">COUNTIF('Control Status'!I5:I22,E13)</f>
        <v>5</v>
      </c>
      <c r="G13" s="19" t="n">
        <f aca="false">IFERROR(F13/F16,0)</f>
        <v>0.277777777777778</v>
      </c>
    </row>
    <row r="14" customFormat="false" ht="15" hidden="false" customHeight="true" outlineLevel="0" collapsed="false">
      <c r="A14" s="18" t="s">
        <v>21</v>
      </c>
      <c r="B14" s="18" t="n">
        <f aca="false">COUNTIF('Risk Register'!I5:I21,A14)</f>
        <v>10</v>
      </c>
      <c r="C14" s="19" t="n">
        <f aca="false">IFERROR(B14/B16,0)</f>
        <v>0.588235294117647</v>
      </c>
      <c r="E14" s="18" t="s">
        <v>22</v>
      </c>
      <c r="F14" s="18" t="n">
        <f aca="false">COUNTIF('Control Status'!I5:I22,E14)</f>
        <v>1</v>
      </c>
      <c r="G14" s="19" t="n">
        <f aca="false">IFERROR(F14/F16,0)</f>
        <v>0.0555555555555556</v>
      </c>
    </row>
    <row r="15" customFormat="false" ht="15" hidden="false" customHeight="true" outlineLevel="0" collapsed="false">
      <c r="A15" s="18" t="s">
        <v>23</v>
      </c>
      <c r="B15" s="18" t="n">
        <f aca="false">COUNTIF('Risk Register'!I5:I21,A15)</f>
        <v>3</v>
      </c>
      <c r="C15" s="19" t="n">
        <f aca="false">IFERROR(B15/B16,0)</f>
        <v>0.176470588235294</v>
      </c>
      <c r="E15" s="18" t="s">
        <v>24</v>
      </c>
      <c r="F15" s="18" t="n">
        <f aca="false">COUNTIF('Control Status'!I5:I22,E15)</f>
        <v>1</v>
      </c>
      <c r="G15" s="19" t="n">
        <f aca="false">IFERROR(F15/F16,0)</f>
        <v>0.0555555555555556</v>
      </c>
    </row>
    <row r="16" customFormat="false" ht="15" hidden="false" customHeight="true" outlineLevel="0" collapsed="false">
      <c r="A16" s="20" t="s">
        <v>25</v>
      </c>
      <c r="B16" s="20" t="n">
        <f aca="false">SUM(B12:B15)</f>
        <v>17</v>
      </c>
      <c r="C16" s="21" t="n">
        <f aca="false">SUM(C12:C15)</f>
        <v>1</v>
      </c>
      <c r="E16" s="20" t="s">
        <v>25</v>
      </c>
      <c r="F16" s="20" t="n">
        <f aca="false">SUM(F12:F15)</f>
        <v>18</v>
      </c>
      <c r="G16" s="21" t="n">
        <f aca="false">SUM(G12:G15)</f>
        <v>1</v>
      </c>
    </row>
    <row r="18" customFormat="false" ht="15" hidden="false" customHeight="true" outlineLevel="0" collapsed="false">
      <c r="A18" s="16" t="s">
        <v>26</v>
      </c>
      <c r="B18" s="16"/>
      <c r="C18" s="16"/>
      <c r="E18" s="16" t="s">
        <v>27</v>
      </c>
      <c r="F18" s="16"/>
      <c r="G18" s="16"/>
    </row>
    <row r="19" customFormat="false" ht="15" hidden="false" customHeight="true" outlineLevel="0" collapsed="false">
      <c r="A19" s="17" t="s">
        <v>28</v>
      </c>
      <c r="B19" s="17" t="s">
        <v>14</v>
      </c>
      <c r="C19" s="17" t="s">
        <v>15</v>
      </c>
      <c r="E19" s="17" t="s">
        <v>28</v>
      </c>
      <c r="F19" s="17" t="s">
        <v>14</v>
      </c>
      <c r="G19" s="17" t="s">
        <v>15</v>
      </c>
    </row>
    <row r="20" customFormat="false" ht="15" hidden="false" customHeight="true" outlineLevel="0" collapsed="false">
      <c r="A20" s="18" t="s">
        <v>29</v>
      </c>
      <c r="B20" s="18" t="n">
        <f aca="false">COUNTIF('Audit Findings'!H5:H16,A20)</f>
        <v>6</v>
      </c>
      <c r="C20" s="19" t="n">
        <f aca="false">IFERROR(B20/B23,0)</f>
        <v>0.5</v>
      </c>
      <c r="E20" s="18" t="s">
        <v>30</v>
      </c>
      <c r="F20" s="18" t="n">
        <f aca="false">COUNTIF(KRI!G5:G14,E20)</f>
        <v>0</v>
      </c>
      <c r="G20" s="19" t="n">
        <f aca="false">IFERROR(F20/F23,0)</f>
        <v>0</v>
      </c>
    </row>
    <row r="21" customFormat="false" ht="15" hidden="false" customHeight="true" outlineLevel="0" collapsed="false">
      <c r="A21" s="18" t="s">
        <v>31</v>
      </c>
      <c r="B21" s="18" t="n">
        <f aca="false">COUNTIF('Audit Findings'!H5:H16,A21)</f>
        <v>4</v>
      </c>
      <c r="C21" s="19" t="n">
        <f aca="false">IFERROR(B21/B23,0)</f>
        <v>0.333333333333333</v>
      </c>
      <c r="E21" s="18" t="s">
        <v>32</v>
      </c>
      <c r="F21" s="18" t="n">
        <f aca="false">COUNTIF(KRI!G5:G14,E21)</f>
        <v>8</v>
      </c>
      <c r="G21" s="19" t="n">
        <f aca="false">IFERROR(F21/F23,0)</f>
        <v>0.8</v>
      </c>
    </row>
    <row r="22" customFormat="false" ht="15" hidden="false" customHeight="true" outlineLevel="0" collapsed="false">
      <c r="A22" s="18" t="s">
        <v>33</v>
      </c>
      <c r="B22" s="18" t="n">
        <f aca="false">COUNTIF('Audit Findings'!H5:H16,A22)</f>
        <v>2</v>
      </c>
      <c r="C22" s="19" t="n">
        <f aca="false">IFERROR(B22/B23,0)</f>
        <v>0.166666666666667</v>
      </c>
      <c r="E22" s="18" t="s">
        <v>34</v>
      </c>
      <c r="F22" s="18" t="n">
        <f aca="false">COUNTIF(KRI!G5:G14,E22)</f>
        <v>2</v>
      </c>
      <c r="G22" s="19" t="n">
        <f aca="false">IFERROR(F22/F23,0)</f>
        <v>0.2</v>
      </c>
    </row>
    <row r="23" customFormat="false" ht="15" hidden="false" customHeight="true" outlineLevel="0" collapsed="false">
      <c r="A23" s="20" t="s">
        <v>25</v>
      </c>
      <c r="B23" s="20" t="n">
        <f aca="false">SUM(B20:B22)</f>
        <v>12</v>
      </c>
      <c r="C23" s="21" t="n">
        <f aca="false">SUM(C20:C22)</f>
        <v>1</v>
      </c>
      <c r="E23" s="20" t="s">
        <v>25</v>
      </c>
      <c r="F23" s="20" t="n">
        <f aca="false">SUM(F20:F22)</f>
        <v>10</v>
      </c>
      <c r="G23" s="21" t="n">
        <f aca="false">SUM(G20:G22)</f>
        <v>1</v>
      </c>
    </row>
    <row r="25" customFormat="false" ht="15" hidden="false" customHeight="true" outlineLevel="0" collapsed="false">
      <c r="A25" s="16" t="s">
        <v>35</v>
      </c>
      <c r="B25" s="16"/>
      <c r="C25" s="16"/>
      <c r="D25" s="16"/>
      <c r="E25" s="16"/>
      <c r="F25" s="16"/>
      <c r="G25" s="16"/>
      <c r="H25" s="16"/>
    </row>
    <row r="26" customFormat="false" ht="19.5" hidden="false" customHeight="true" outlineLevel="0" collapsed="false">
      <c r="A26" s="17" t="s">
        <v>36</v>
      </c>
      <c r="B26" s="17" t="s">
        <v>37</v>
      </c>
      <c r="C26" s="17" t="s">
        <v>38</v>
      </c>
      <c r="D26" s="17" t="s">
        <v>39</v>
      </c>
      <c r="E26" s="17" t="s">
        <v>40</v>
      </c>
      <c r="F26" s="17" t="s">
        <v>41</v>
      </c>
      <c r="G26" s="17" t="s">
        <v>42</v>
      </c>
      <c r="H26" s="17" t="s">
        <v>28</v>
      </c>
    </row>
    <row r="27" customFormat="false" ht="27.75" hidden="false" customHeight="true" outlineLevel="0" collapsed="false">
      <c r="A27" s="22" t="str">
        <f aca="false">'Risk Register'!A5</f>
        <v>R-001</v>
      </c>
      <c r="B27" s="23" t="str">
        <f aca="false">'Risk Register'!B5</f>
        <v>Unauthorized access to production systems via compromised credentials</v>
      </c>
      <c r="C27" s="22" t="str">
        <f aca="false">'Risk Register'!C5</f>
        <v>Cybersecurity</v>
      </c>
      <c r="D27" s="22" t="n">
        <f aca="false">'Risk Register'!H5</f>
        <v>16</v>
      </c>
      <c r="E27" s="22" t="str">
        <f aca="false">'Risk Register'!I5</f>
        <v>Critical</v>
      </c>
      <c r="F27" s="22" t="str">
        <f aca="false">'Risk Register'!J5</f>
        <v>IT Security</v>
      </c>
      <c r="G27" s="22" t="str">
        <f aca="false">'Risk Register'!K5</f>
        <v>Treat</v>
      </c>
      <c r="H27" s="22" t="str">
        <f aca="false">'Risk Register'!L5</f>
        <v>Open</v>
      </c>
    </row>
    <row r="28" customFormat="false" ht="27.75" hidden="false" customHeight="true" outlineLevel="0" collapsed="false">
      <c r="A28" s="22" t="str">
        <f aca="false">'Risk Register'!A6</f>
        <v>R-002</v>
      </c>
      <c r="B28" s="23" t="str">
        <f aca="false">'Risk Register'!B6</f>
        <v>Ransomware attack encrypting critical business data</v>
      </c>
      <c r="C28" s="22" t="str">
        <f aca="false">'Risk Register'!C6</f>
        <v>Cybersecurity</v>
      </c>
      <c r="D28" s="22" t="n">
        <f aca="false">'Risk Register'!H6</f>
        <v>12</v>
      </c>
      <c r="E28" s="22" t="str">
        <f aca="false">'Risk Register'!I6</f>
        <v>High</v>
      </c>
      <c r="F28" s="22" t="str">
        <f aca="false">'Risk Register'!J6</f>
        <v>CISO</v>
      </c>
      <c r="G28" s="22" t="str">
        <f aca="false">'Risk Register'!K6</f>
        <v>Treat</v>
      </c>
      <c r="H28" s="22" t="str">
        <f aca="false">'Risk Register'!L6</f>
        <v>Open</v>
      </c>
    </row>
    <row r="29" customFormat="false" ht="27.75" hidden="false" customHeight="true" outlineLevel="0" collapsed="false">
      <c r="A29" s="22" t="str">
        <f aca="false">'Risk Register'!A8</f>
        <v>R-004</v>
      </c>
      <c r="B29" s="23" t="str">
        <f aca="false">'Risk Register'!B8</f>
        <v>Failure of key third-party vendor leading to service disruption</v>
      </c>
      <c r="C29" s="22" t="str">
        <f aca="false">'Risk Register'!C8</f>
        <v>Third-Party</v>
      </c>
      <c r="D29" s="22" t="n">
        <f aca="false">'Risk Register'!H8</f>
        <v>6</v>
      </c>
      <c r="E29" s="22" t="str">
        <f aca="false">'Risk Register'!I8</f>
        <v>Medium</v>
      </c>
      <c r="F29" s="22" t="str">
        <f aca="false">'Risk Register'!J8</f>
        <v>Procurement</v>
      </c>
      <c r="G29" s="22" t="str">
        <f aca="false">'Risk Register'!K8</f>
        <v>Treat</v>
      </c>
      <c r="H29" s="22" t="str">
        <f aca="false">'Risk Register'!L8</f>
        <v>Open</v>
      </c>
    </row>
    <row r="30" customFormat="false" ht="27.75" hidden="false" customHeight="true" outlineLevel="0" collapsed="false">
      <c r="A30" s="22" t="str">
        <f aca="false">'Risk Register'!A9</f>
        <v>R-005</v>
      </c>
      <c r="B30" s="23" t="str">
        <f aca="false">'Risk Register'!B9</f>
        <v>Insider threat - malicious data exfiltration by privileged user</v>
      </c>
      <c r="C30" s="22" t="str">
        <f aca="false">'Risk Register'!C9</f>
        <v>Cybersecurity</v>
      </c>
      <c r="D30" s="22" t="n">
        <f aca="false">'Risk Register'!H9</f>
        <v>8</v>
      </c>
      <c r="E30" s="22" t="str">
        <f aca="false">'Risk Register'!I9</f>
        <v>Medium</v>
      </c>
      <c r="F30" s="22" t="str">
        <f aca="false">'Risk Register'!J9</f>
        <v>IT Security</v>
      </c>
      <c r="G30" s="22" t="str">
        <f aca="false">'Risk Register'!K9</f>
        <v>Treat</v>
      </c>
      <c r="H30" s="22" t="str">
        <f aca="false">'Risk Register'!L9</f>
        <v>Open</v>
      </c>
    </row>
    <row r="31" customFormat="false" ht="27.75" hidden="false" customHeight="true" outlineLevel="0" collapsed="false">
      <c r="A31" s="22" t="str">
        <f aca="false">'Risk Register'!A12</f>
        <v>R-008</v>
      </c>
      <c r="B31" s="23" t="str">
        <f aca="false">'Risk Register'!B12</f>
        <v>Phishing campaign resulting in credential compromise</v>
      </c>
      <c r="C31" s="22" t="str">
        <f aca="false">'Risk Register'!C12</f>
        <v>Cybersecurity</v>
      </c>
      <c r="D31" s="22" t="n">
        <f aca="false">'Risk Register'!H12</f>
        <v>10</v>
      </c>
      <c r="E31" s="22" t="str">
        <f aca="false">'Risk Register'!I12</f>
        <v>High</v>
      </c>
      <c r="F31" s="22" t="str">
        <f aca="false">'Risk Register'!J12</f>
        <v>IT Security</v>
      </c>
      <c r="G31" s="22" t="str">
        <f aca="false">'Risk Register'!K12</f>
        <v>Treat</v>
      </c>
      <c r="H31" s="22" t="str">
        <f aca="false">'Risk Register'!L12</f>
        <v>Open</v>
      </c>
    </row>
    <row r="34" customFormat="false" ht="15" hidden="false" customHeight="true" outlineLevel="0" collapsed="false">
      <c r="A34" s="24" t="s">
        <v>43</v>
      </c>
    </row>
    <row r="35" customFormat="false" ht="15" hidden="false" customHeight="true" outlineLevel="0" collapsed="false">
      <c r="A35" s="25" t="s">
        <v>44</v>
      </c>
      <c r="B35" s="25"/>
      <c r="C35" s="25"/>
      <c r="D35" s="25"/>
      <c r="E35" s="25"/>
      <c r="F35" s="25"/>
      <c r="G35" s="25"/>
      <c r="H35" s="25"/>
    </row>
    <row r="36" customFormat="false" ht="15" hidden="false" customHeight="true" outlineLevel="0" collapsed="false">
      <c r="A36" s="25" t="s">
        <v>45</v>
      </c>
      <c r="B36" s="25"/>
      <c r="C36" s="25"/>
      <c r="D36" s="25"/>
      <c r="E36" s="25"/>
      <c r="F36" s="25"/>
      <c r="G36" s="25"/>
      <c r="H36" s="25"/>
    </row>
    <row r="37" customFormat="false" ht="15" hidden="false" customHeight="true" outlineLevel="0" collapsed="false">
      <c r="A37" s="25" t="s">
        <v>46</v>
      </c>
      <c r="B37" s="25"/>
      <c r="C37" s="25"/>
      <c r="D37" s="25"/>
      <c r="E37" s="25"/>
      <c r="F37" s="25"/>
      <c r="G37" s="25"/>
      <c r="H37" s="25"/>
    </row>
    <row r="38" customFormat="false" ht="15" hidden="false" customHeight="true" outlineLevel="0" collapsed="false">
      <c r="A38" s="25" t="s">
        <v>47</v>
      </c>
      <c r="B38" s="25"/>
      <c r="C38" s="25"/>
      <c r="D38" s="25"/>
      <c r="E38" s="25"/>
      <c r="F38" s="25"/>
      <c r="G38" s="25"/>
      <c r="H38" s="25"/>
    </row>
    <row r="39" customFormat="false" ht="15" hidden="false" customHeight="true" outlineLevel="0" collapsed="false">
      <c r="A39" s="25" t="s">
        <v>48</v>
      </c>
      <c r="B39" s="25"/>
      <c r="C39" s="25"/>
      <c r="D39" s="25"/>
      <c r="E39" s="25"/>
      <c r="F39" s="25"/>
      <c r="G39" s="25"/>
      <c r="H39" s="25"/>
    </row>
  </sheetData>
  <mergeCells count="28">
    <mergeCell ref="A1:H1"/>
    <mergeCell ref="A2:H2"/>
    <mergeCell ref="B4:C4"/>
    <mergeCell ref="D4:E4"/>
    <mergeCell ref="F4:G4"/>
    <mergeCell ref="H4:I4"/>
    <mergeCell ref="B5:C5"/>
    <mergeCell ref="D5:E5"/>
    <mergeCell ref="F5:G5"/>
    <mergeCell ref="H5:I5"/>
    <mergeCell ref="B7:C7"/>
    <mergeCell ref="D7:E7"/>
    <mergeCell ref="F7:G7"/>
    <mergeCell ref="H7:I7"/>
    <mergeCell ref="B8:C8"/>
    <mergeCell ref="D8:E8"/>
    <mergeCell ref="F8:G8"/>
    <mergeCell ref="H8:I8"/>
    <mergeCell ref="A10:C10"/>
    <mergeCell ref="E10:G10"/>
    <mergeCell ref="A18:C18"/>
    <mergeCell ref="E18:G18"/>
    <mergeCell ref="A25:H25"/>
    <mergeCell ref="A35:H35"/>
    <mergeCell ref="A36:H36"/>
    <mergeCell ref="A37:H37"/>
    <mergeCell ref="A38:H38"/>
    <mergeCell ref="A39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55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40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16"/>
    <col collapsed="false" customWidth="true" hidden="false" outlineLevel="0" max="12" min="11" style="1" width="12"/>
  </cols>
  <sheetData>
    <row r="1" customFormat="false" ht="21.75" hidden="false" customHeight="true" outlineLevel="0" collapsed="false">
      <c r="A1" s="26" t="s">
        <v>49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customFormat="false" ht="30" hidden="false" customHeight="true" outlineLevel="0" collapsed="false">
      <c r="A2" s="3" t="s">
        <v>50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1.75" hidden="false" customHeight="true" outlineLevel="0" collapsed="false">
      <c r="A4" s="17" t="s">
        <v>36</v>
      </c>
      <c r="B4" s="17" t="s">
        <v>37</v>
      </c>
      <c r="C4" s="17" t="s">
        <v>38</v>
      </c>
      <c r="D4" s="17" t="s">
        <v>51</v>
      </c>
      <c r="E4" s="17" t="s">
        <v>52</v>
      </c>
      <c r="F4" s="17" t="s">
        <v>53</v>
      </c>
      <c r="G4" s="17" t="s">
        <v>54</v>
      </c>
      <c r="H4" s="17" t="s">
        <v>39</v>
      </c>
      <c r="I4" s="17" t="s">
        <v>40</v>
      </c>
      <c r="J4" s="17" t="s">
        <v>41</v>
      </c>
      <c r="K4" s="17" t="s">
        <v>42</v>
      </c>
      <c r="L4" s="17" t="s">
        <v>28</v>
      </c>
    </row>
    <row r="5" customFormat="false" ht="34.5" hidden="false" customHeight="true" outlineLevel="0" collapsed="false">
      <c r="A5" s="27" t="s">
        <v>55</v>
      </c>
      <c r="B5" s="27" t="s">
        <v>56</v>
      </c>
      <c r="C5" s="27" t="s">
        <v>57</v>
      </c>
      <c r="D5" s="27" t="n">
        <v>4</v>
      </c>
      <c r="E5" s="27" t="n">
        <v>5</v>
      </c>
      <c r="F5" s="27" t="n">
        <f aca="false">D5*E5</f>
        <v>20</v>
      </c>
      <c r="G5" s="27" t="s">
        <v>58</v>
      </c>
      <c r="H5" s="28" t="n">
        <v>16</v>
      </c>
      <c r="I5" s="27" t="str">
        <f aca="false">IF(H5&gt;=16,"Critical",IF(H5&gt;=10,"High",IF(H5&gt;=5,"Medium","Low")))</f>
        <v>Critical</v>
      </c>
      <c r="J5" s="27" t="s">
        <v>59</v>
      </c>
      <c r="K5" s="27" t="s">
        <v>60</v>
      </c>
      <c r="L5" s="27" t="s">
        <v>29</v>
      </c>
    </row>
    <row r="6" customFormat="false" ht="34.5" hidden="false" customHeight="true" outlineLevel="0" collapsed="false">
      <c r="A6" s="27" t="s">
        <v>61</v>
      </c>
      <c r="B6" s="27" t="s">
        <v>62</v>
      </c>
      <c r="C6" s="27" t="s">
        <v>57</v>
      </c>
      <c r="D6" s="27" t="n">
        <v>3</v>
      </c>
      <c r="E6" s="27" t="n">
        <v>5</v>
      </c>
      <c r="F6" s="27" t="n">
        <f aca="false">D6*E6</f>
        <v>15</v>
      </c>
      <c r="G6" s="27" t="s">
        <v>63</v>
      </c>
      <c r="H6" s="28" t="n">
        <v>12</v>
      </c>
      <c r="I6" s="27" t="str">
        <f aca="false">IF(H6&gt;=16,"Critical",IF(H6&gt;=10,"High",IF(H6&gt;=5,"Medium","Low")))</f>
        <v>High</v>
      </c>
      <c r="J6" s="27" t="s">
        <v>64</v>
      </c>
      <c r="K6" s="27" t="s">
        <v>60</v>
      </c>
      <c r="L6" s="27" t="s">
        <v>29</v>
      </c>
    </row>
    <row r="7" customFormat="false" ht="34.5" hidden="false" customHeight="true" outlineLevel="0" collapsed="false">
      <c r="A7" s="27" t="s">
        <v>65</v>
      </c>
      <c r="B7" s="27" t="s">
        <v>66</v>
      </c>
      <c r="C7" s="27" t="s">
        <v>67</v>
      </c>
      <c r="D7" s="27" t="n">
        <v>3</v>
      </c>
      <c r="E7" s="27" t="n">
        <v>5</v>
      </c>
      <c r="F7" s="27" t="n">
        <f aca="false">D7*E7</f>
        <v>15</v>
      </c>
      <c r="G7" s="27" t="s">
        <v>68</v>
      </c>
      <c r="H7" s="28" t="n">
        <v>10</v>
      </c>
      <c r="I7" s="27" t="str">
        <f aca="false">IF(H7&gt;=16,"Critical",IF(H7&gt;=10,"High",IF(H7&gt;=5,"Medium","Low")))</f>
        <v>High</v>
      </c>
      <c r="J7" s="27" t="s">
        <v>69</v>
      </c>
      <c r="K7" s="27" t="s">
        <v>60</v>
      </c>
      <c r="L7" s="27" t="s">
        <v>31</v>
      </c>
    </row>
    <row r="8" customFormat="false" ht="34.5" hidden="false" customHeight="true" outlineLevel="0" collapsed="false">
      <c r="A8" s="27" t="s">
        <v>70</v>
      </c>
      <c r="B8" s="27" t="s">
        <v>71</v>
      </c>
      <c r="C8" s="27" t="s">
        <v>72</v>
      </c>
      <c r="D8" s="27" t="n">
        <v>3</v>
      </c>
      <c r="E8" s="27" t="n">
        <v>4</v>
      </c>
      <c r="F8" s="27" t="n">
        <f aca="false">D8*E8</f>
        <v>12</v>
      </c>
      <c r="G8" s="27" t="s">
        <v>73</v>
      </c>
      <c r="H8" s="28" t="n">
        <v>6</v>
      </c>
      <c r="I8" s="27" t="str">
        <f aca="false">IF(H8&gt;=16,"Critical",IF(H8&gt;=10,"High",IF(H8&gt;=5,"Medium","Low")))</f>
        <v>Medium</v>
      </c>
      <c r="J8" s="27" t="s">
        <v>74</v>
      </c>
      <c r="K8" s="27" t="s">
        <v>60</v>
      </c>
      <c r="L8" s="27" t="s">
        <v>29</v>
      </c>
    </row>
    <row r="9" customFormat="false" ht="34.5" hidden="false" customHeight="true" outlineLevel="0" collapsed="false">
      <c r="A9" s="27" t="s">
        <v>75</v>
      </c>
      <c r="B9" s="27" t="s">
        <v>76</v>
      </c>
      <c r="C9" s="27" t="s">
        <v>57</v>
      </c>
      <c r="D9" s="27" t="n">
        <v>2</v>
      </c>
      <c r="E9" s="27" t="n">
        <v>5</v>
      </c>
      <c r="F9" s="27" t="n">
        <f aca="false">D9*E9</f>
        <v>10</v>
      </c>
      <c r="G9" s="27" t="s">
        <v>77</v>
      </c>
      <c r="H9" s="28" t="n">
        <v>8</v>
      </c>
      <c r="I9" s="27" t="str">
        <f aca="false">IF(H9&gt;=16,"Critical",IF(H9&gt;=10,"High",IF(H9&gt;=5,"Medium","Low")))</f>
        <v>Medium</v>
      </c>
      <c r="J9" s="27" t="s">
        <v>59</v>
      </c>
      <c r="K9" s="27" t="s">
        <v>60</v>
      </c>
      <c r="L9" s="27" t="s">
        <v>29</v>
      </c>
    </row>
    <row r="10" customFormat="false" ht="34.5" hidden="false" customHeight="true" outlineLevel="0" collapsed="false">
      <c r="A10" s="27" t="s">
        <v>78</v>
      </c>
      <c r="B10" s="27" t="s">
        <v>79</v>
      </c>
      <c r="C10" s="27" t="s">
        <v>80</v>
      </c>
      <c r="D10" s="27" t="n">
        <v>3</v>
      </c>
      <c r="E10" s="27" t="n">
        <v>4</v>
      </c>
      <c r="F10" s="27" t="n">
        <f aca="false">D10*E10</f>
        <v>12</v>
      </c>
      <c r="G10" s="27" t="s">
        <v>81</v>
      </c>
      <c r="H10" s="28" t="n">
        <v>6</v>
      </c>
      <c r="I10" s="27" t="str">
        <f aca="false">IF(H10&gt;=16,"Critical",IF(H10&gt;=10,"High",IF(H10&gt;=5,"Medium","Low")))</f>
        <v>Medium</v>
      </c>
      <c r="J10" s="27" t="s">
        <v>80</v>
      </c>
      <c r="K10" s="27" t="s">
        <v>60</v>
      </c>
      <c r="L10" s="27" t="s">
        <v>31</v>
      </c>
    </row>
    <row r="11" customFormat="false" ht="34.5" hidden="false" customHeight="true" outlineLevel="0" collapsed="false">
      <c r="A11" s="27" t="s">
        <v>82</v>
      </c>
      <c r="B11" s="27" t="s">
        <v>83</v>
      </c>
      <c r="C11" s="27" t="s">
        <v>84</v>
      </c>
      <c r="D11" s="27" t="n">
        <v>3</v>
      </c>
      <c r="E11" s="27" t="n">
        <v>3</v>
      </c>
      <c r="F11" s="27" t="n">
        <f aca="false">D11*E11</f>
        <v>9</v>
      </c>
      <c r="G11" s="27" t="s">
        <v>85</v>
      </c>
      <c r="H11" s="28" t="n">
        <v>4</v>
      </c>
      <c r="I11" s="27" t="str">
        <f aca="false">IF(H11&gt;=16,"Critical",IF(H11&gt;=10,"High",IF(H11&gt;=5,"Medium","Low")))</f>
        <v>Low</v>
      </c>
      <c r="J11" s="27" t="s">
        <v>86</v>
      </c>
      <c r="K11" s="27" t="s">
        <v>87</v>
      </c>
      <c r="L11" s="27" t="s">
        <v>29</v>
      </c>
    </row>
    <row r="12" customFormat="false" ht="34.5" hidden="false" customHeight="true" outlineLevel="0" collapsed="false">
      <c r="A12" s="27" t="s">
        <v>88</v>
      </c>
      <c r="B12" s="27" t="s">
        <v>89</v>
      </c>
      <c r="C12" s="27" t="s">
        <v>57</v>
      </c>
      <c r="D12" s="27" t="n">
        <v>4</v>
      </c>
      <c r="E12" s="27" t="n">
        <v>4</v>
      </c>
      <c r="F12" s="27" t="n">
        <f aca="false">D12*E12</f>
        <v>16</v>
      </c>
      <c r="G12" s="27" t="s">
        <v>90</v>
      </c>
      <c r="H12" s="28" t="n">
        <v>10</v>
      </c>
      <c r="I12" s="27" t="str">
        <f aca="false">IF(H12&gt;=16,"Critical",IF(H12&gt;=10,"High",IF(H12&gt;=5,"Medium","Low")))</f>
        <v>High</v>
      </c>
      <c r="J12" s="27" t="s">
        <v>59</v>
      </c>
      <c r="K12" s="27" t="s">
        <v>60</v>
      </c>
      <c r="L12" s="27" t="s">
        <v>29</v>
      </c>
    </row>
    <row r="13" customFormat="false" ht="34.5" hidden="false" customHeight="true" outlineLevel="0" collapsed="false">
      <c r="A13" s="27" t="s">
        <v>91</v>
      </c>
      <c r="B13" s="27" t="s">
        <v>92</v>
      </c>
      <c r="C13" s="27" t="s">
        <v>84</v>
      </c>
      <c r="D13" s="27" t="n">
        <v>2</v>
      </c>
      <c r="E13" s="27" t="n">
        <v>5</v>
      </c>
      <c r="F13" s="27" t="n">
        <f aca="false">D13*E13</f>
        <v>10</v>
      </c>
      <c r="G13" s="27" t="s">
        <v>93</v>
      </c>
      <c r="H13" s="28" t="n">
        <v>6</v>
      </c>
      <c r="I13" s="27" t="str">
        <f aca="false">IF(H13&gt;=16,"Critical",IF(H13&gt;=10,"High",IF(H13&gt;=5,"Medium","Low")))</f>
        <v>Medium</v>
      </c>
      <c r="J13" s="27" t="s">
        <v>94</v>
      </c>
      <c r="K13" s="27" t="s">
        <v>60</v>
      </c>
      <c r="L13" s="27" t="s">
        <v>29</v>
      </c>
    </row>
    <row r="14" customFormat="false" ht="34.5" hidden="false" customHeight="true" outlineLevel="0" collapsed="false">
      <c r="A14" s="27" t="s">
        <v>95</v>
      </c>
      <c r="B14" s="27" t="s">
        <v>96</v>
      </c>
      <c r="C14" s="27" t="s">
        <v>57</v>
      </c>
      <c r="D14" s="27" t="n">
        <v>3</v>
      </c>
      <c r="E14" s="27" t="n">
        <v>4</v>
      </c>
      <c r="F14" s="27" t="n">
        <f aca="false">D14*E14</f>
        <v>12</v>
      </c>
      <c r="G14" s="27" t="s">
        <v>97</v>
      </c>
      <c r="H14" s="28" t="n">
        <v>8</v>
      </c>
      <c r="I14" s="27" t="str">
        <f aca="false">IF(H14&gt;=16,"Critical",IF(H14&gt;=10,"High",IF(H14&gt;=5,"Medium","Low")))</f>
        <v>Medium</v>
      </c>
      <c r="J14" s="27" t="s">
        <v>98</v>
      </c>
      <c r="K14" s="27" t="s">
        <v>60</v>
      </c>
      <c r="L14" s="27" t="s">
        <v>31</v>
      </c>
    </row>
    <row r="15" customFormat="false" ht="34.5" hidden="false" customHeight="true" outlineLevel="0" collapsed="false">
      <c r="A15" s="27" t="s">
        <v>99</v>
      </c>
      <c r="B15" s="27" t="s">
        <v>100</v>
      </c>
      <c r="C15" s="27" t="s">
        <v>101</v>
      </c>
      <c r="D15" s="27" t="n">
        <v>2</v>
      </c>
      <c r="E15" s="27" t="n">
        <v>4</v>
      </c>
      <c r="F15" s="27" t="n">
        <f aca="false">D15*E15</f>
        <v>8</v>
      </c>
      <c r="G15" s="27" t="s">
        <v>102</v>
      </c>
      <c r="H15" s="28" t="n">
        <v>3</v>
      </c>
      <c r="I15" s="27" t="str">
        <f aca="false">IF(H15&gt;=16,"Critical",IF(H15&gt;=10,"High",IF(H15&gt;=5,"Medium","Low")))</f>
        <v>Low</v>
      </c>
      <c r="J15" s="27" t="s">
        <v>103</v>
      </c>
      <c r="K15" s="27" t="s">
        <v>60</v>
      </c>
      <c r="L15" s="27" t="s">
        <v>33</v>
      </c>
    </row>
    <row r="16" customFormat="false" ht="34.5" hidden="false" customHeight="true" outlineLevel="0" collapsed="false">
      <c r="A16" s="27" t="s">
        <v>104</v>
      </c>
      <c r="B16" s="27" t="s">
        <v>105</v>
      </c>
      <c r="C16" s="27" t="s">
        <v>72</v>
      </c>
      <c r="D16" s="27" t="n">
        <v>2</v>
      </c>
      <c r="E16" s="27" t="n">
        <v>5</v>
      </c>
      <c r="F16" s="27" t="n">
        <f aca="false">D16*E16</f>
        <v>10</v>
      </c>
      <c r="G16" s="27" t="s">
        <v>106</v>
      </c>
      <c r="H16" s="28" t="n">
        <v>8</v>
      </c>
      <c r="I16" s="27" t="str">
        <f aca="false">IF(H16&gt;=16,"Critical",IF(H16&gt;=10,"High",IF(H16&gt;=5,"Medium","Low")))</f>
        <v>Medium</v>
      </c>
      <c r="J16" s="27" t="s">
        <v>98</v>
      </c>
      <c r="K16" s="27" t="s">
        <v>60</v>
      </c>
      <c r="L16" s="27" t="s">
        <v>29</v>
      </c>
    </row>
    <row r="17" customFormat="false" ht="34.5" hidden="false" customHeight="true" outlineLevel="0" collapsed="false">
      <c r="A17" s="27" t="s">
        <v>107</v>
      </c>
      <c r="B17" s="27" t="s">
        <v>108</v>
      </c>
      <c r="C17" s="27" t="s">
        <v>80</v>
      </c>
      <c r="D17" s="27" t="n">
        <v>3</v>
      </c>
      <c r="E17" s="27" t="n">
        <v>3</v>
      </c>
      <c r="F17" s="27" t="n">
        <f aca="false">D17*E17</f>
        <v>9</v>
      </c>
      <c r="G17" s="27" t="s">
        <v>109</v>
      </c>
      <c r="H17" s="28" t="n">
        <v>5</v>
      </c>
      <c r="I17" s="27" t="str">
        <f aca="false">IF(H17&gt;=16,"Critical",IF(H17&gt;=10,"High",IF(H17&gt;=5,"Medium","Low")))</f>
        <v>Medium</v>
      </c>
      <c r="J17" s="27" t="s">
        <v>59</v>
      </c>
      <c r="K17" s="27" t="s">
        <v>60</v>
      </c>
      <c r="L17" s="27" t="s">
        <v>29</v>
      </c>
    </row>
    <row r="18" customFormat="false" ht="34.5" hidden="false" customHeight="true" outlineLevel="0" collapsed="false">
      <c r="A18" s="27" t="s">
        <v>110</v>
      </c>
      <c r="B18" s="27" t="s">
        <v>111</v>
      </c>
      <c r="C18" s="27" t="s">
        <v>112</v>
      </c>
      <c r="D18" s="27" t="n">
        <v>3</v>
      </c>
      <c r="E18" s="27" t="n">
        <v>4</v>
      </c>
      <c r="F18" s="27" t="n">
        <f aca="false">D18*E18</f>
        <v>12</v>
      </c>
      <c r="G18" s="27" t="s">
        <v>113</v>
      </c>
      <c r="H18" s="28" t="n">
        <v>6</v>
      </c>
      <c r="I18" s="27" t="str">
        <f aca="false">IF(H18&gt;=16,"Critical",IF(H18&gt;=10,"High",IF(H18&gt;=5,"Medium","Low")))</f>
        <v>Medium</v>
      </c>
      <c r="J18" s="27" t="s">
        <v>114</v>
      </c>
      <c r="K18" s="27" t="s">
        <v>60</v>
      </c>
      <c r="L18" s="27" t="s">
        <v>31</v>
      </c>
    </row>
    <row r="19" customFormat="false" ht="34.5" hidden="false" customHeight="true" outlineLevel="0" collapsed="false">
      <c r="A19" s="27" t="s">
        <v>115</v>
      </c>
      <c r="B19" s="27" t="s">
        <v>116</v>
      </c>
      <c r="C19" s="27" t="s">
        <v>57</v>
      </c>
      <c r="D19" s="27" t="n">
        <v>4</v>
      </c>
      <c r="E19" s="27" t="n">
        <v>3</v>
      </c>
      <c r="F19" s="27" t="n">
        <f aca="false">D19*E19</f>
        <v>12</v>
      </c>
      <c r="G19" s="27" t="s">
        <v>117</v>
      </c>
      <c r="H19" s="28" t="n">
        <v>8</v>
      </c>
      <c r="I19" s="27" t="str">
        <f aca="false">IF(H19&gt;=16,"Critical",IF(H19&gt;=10,"High",IF(H19&gt;=5,"Medium","Low")))</f>
        <v>Medium</v>
      </c>
      <c r="J19" s="27" t="s">
        <v>59</v>
      </c>
      <c r="K19" s="27" t="s">
        <v>60</v>
      </c>
      <c r="L19" s="27" t="s">
        <v>29</v>
      </c>
    </row>
    <row r="20" customFormat="false" ht="34.5" hidden="false" customHeight="true" outlineLevel="0" collapsed="false">
      <c r="A20" s="27" t="s">
        <v>118</v>
      </c>
      <c r="B20" s="27" t="s">
        <v>119</v>
      </c>
      <c r="C20" s="27" t="s">
        <v>84</v>
      </c>
      <c r="D20" s="27" t="n">
        <v>2</v>
      </c>
      <c r="E20" s="27" t="n">
        <v>5</v>
      </c>
      <c r="F20" s="27" t="n">
        <f aca="false">D20*E20</f>
        <v>10</v>
      </c>
      <c r="G20" s="27" t="s">
        <v>120</v>
      </c>
      <c r="H20" s="28" t="n">
        <v>6</v>
      </c>
      <c r="I20" s="27" t="str">
        <f aca="false">IF(H20&gt;=16,"Critical",IF(H20&gt;=10,"High",IF(H20&gt;=5,"Medium","Low")))</f>
        <v>Medium</v>
      </c>
      <c r="J20" s="27" t="s">
        <v>64</v>
      </c>
      <c r="K20" s="27" t="s">
        <v>60</v>
      </c>
      <c r="L20" s="27" t="s">
        <v>29</v>
      </c>
    </row>
    <row r="21" customFormat="false" ht="34.5" hidden="false" customHeight="true" outlineLevel="0" collapsed="false">
      <c r="A21" s="27" t="s">
        <v>121</v>
      </c>
      <c r="B21" s="27" t="s">
        <v>122</v>
      </c>
      <c r="C21" s="27" t="s">
        <v>80</v>
      </c>
      <c r="D21" s="27" t="n">
        <v>2</v>
      </c>
      <c r="E21" s="27" t="n">
        <v>4</v>
      </c>
      <c r="F21" s="27" t="n">
        <f aca="false">D21*E21</f>
        <v>8</v>
      </c>
      <c r="G21" s="27" t="s">
        <v>123</v>
      </c>
      <c r="H21" s="28" t="n">
        <v>3</v>
      </c>
      <c r="I21" s="27" t="str">
        <f aca="false">IF(H21&gt;=16,"Critical",IF(H21&gt;=10,"High",IF(H21&gt;=5,"Medium","Low")))</f>
        <v>Low</v>
      </c>
      <c r="J21" s="27" t="s">
        <v>124</v>
      </c>
      <c r="K21" s="27" t="s">
        <v>60</v>
      </c>
      <c r="L21" s="27" t="s">
        <v>33</v>
      </c>
    </row>
  </sheetData>
  <autoFilter ref="A4:L21"/>
  <mergeCells count="2">
    <mergeCell ref="A1:L1"/>
    <mergeCell ref="A2:L2"/>
  </mergeCells>
  <conditionalFormatting sqref="I5:I21">
    <cfRule type="cellIs" priority="2" operator="equal" aboveAverage="0" equalAverage="0" bottom="0" percent="0" rank="0" text="" dxfId="8">
      <formula>"Critical"</formula>
    </cfRule>
    <cfRule type="cellIs" priority="3" operator="equal" aboveAverage="0" equalAverage="0" bottom="0" percent="0" rank="0" text="" dxfId="9">
      <formula>"High"</formula>
    </cfRule>
    <cfRule type="cellIs" priority="4" operator="equal" aboveAverage="0" equalAverage="0" bottom="0" percent="0" rank="0" text="" dxfId="10">
      <formula>"Medium"</formula>
    </cfRule>
    <cfRule type="cellIs" priority="5" operator="equal" aboveAverage="0" equalAverage="0" bottom="0" percent="0" rank="0" text="" dxfId="11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60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12"/>
  </cols>
  <sheetData>
    <row r="1" customFormat="false" ht="21.75" hidden="false" customHeight="true" outlineLevel="0" collapsed="false">
      <c r="A1" s="26" t="s">
        <v>125</v>
      </c>
      <c r="B1" s="26"/>
      <c r="C1" s="26"/>
      <c r="D1" s="26"/>
      <c r="E1" s="26"/>
      <c r="F1" s="26"/>
      <c r="G1" s="26"/>
      <c r="H1" s="26"/>
      <c r="I1" s="26"/>
      <c r="J1" s="26"/>
    </row>
    <row r="2" customFormat="false" ht="15" hidden="false" customHeight="true" outlineLevel="0" collapsed="false">
      <c r="A2" s="3" t="s">
        <v>126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1.75" hidden="false" customHeight="true" outlineLevel="0" collapsed="false">
      <c r="A4" s="17" t="s">
        <v>127</v>
      </c>
      <c r="B4" s="17" t="s">
        <v>54</v>
      </c>
      <c r="C4" s="17" t="s">
        <v>128</v>
      </c>
      <c r="D4" s="17" t="s">
        <v>41</v>
      </c>
      <c r="E4" s="17" t="s">
        <v>129</v>
      </c>
      <c r="F4" s="17" t="s">
        <v>130</v>
      </c>
      <c r="G4" s="17" t="s">
        <v>16</v>
      </c>
      <c r="H4" s="17" t="s">
        <v>131</v>
      </c>
      <c r="I4" s="17" t="s">
        <v>132</v>
      </c>
      <c r="J4" s="17" t="s">
        <v>133</v>
      </c>
    </row>
    <row r="5" customFormat="false" ht="31.5" hidden="false" customHeight="true" outlineLevel="0" collapsed="false">
      <c r="A5" s="27" t="s">
        <v>134</v>
      </c>
      <c r="B5" s="27" t="s">
        <v>135</v>
      </c>
      <c r="C5" s="27" t="s">
        <v>136</v>
      </c>
      <c r="D5" s="27" t="s">
        <v>59</v>
      </c>
      <c r="E5" s="27" t="s">
        <v>137</v>
      </c>
      <c r="F5" s="29" t="n">
        <v>46188</v>
      </c>
      <c r="G5" s="27" t="s">
        <v>18</v>
      </c>
      <c r="H5" s="27" t="s">
        <v>138</v>
      </c>
      <c r="I5" s="27" t="s">
        <v>18</v>
      </c>
      <c r="J5" s="29" t="n">
        <v>46278</v>
      </c>
    </row>
    <row r="6" customFormat="false" ht="31.5" hidden="false" customHeight="true" outlineLevel="0" collapsed="false">
      <c r="A6" s="27" t="s">
        <v>139</v>
      </c>
      <c r="B6" s="27" t="s">
        <v>140</v>
      </c>
      <c r="C6" s="27" t="s">
        <v>141</v>
      </c>
      <c r="D6" s="27" t="s">
        <v>59</v>
      </c>
      <c r="E6" s="27" t="s">
        <v>142</v>
      </c>
      <c r="F6" s="29" t="n">
        <v>46235</v>
      </c>
      <c r="G6" s="27" t="s">
        <v>18</v>
      </c>
      <c r="H6" s="27" t="s">
        <v>138</v>
      </c>
      <c r="I6" s="27" t="s">
        <v>18</v>
      </c>
      <c r="J6" s="29" t="n">
        <v>46265</v>
      </c>
    </row>
    <row r="7" customFormat="false" ht="31.5" hidden="false" customHeight="true" outlineLevel="0" collapsed="false">
      <c r="A7" s="27" t="s">
        <v>143</v>
      </c>
      <c r="B7" s="27" t="s">
        <v>144</v>
      </c>
      <c r="C7" s="27" t="s">
        <v>145</v>
      </c>
      <c r="D7" s="27" t="s">
        <v>146</v>
      </c>
      <c r="E7" s="27" t="s">
        <v>147</v>
      </c>
      <c r="F7" s="29" t="n">
        <v>46254</v>
      </c>
      <c r="G7" s="27" t="s">
        <v>20</v>
      </c>
      <c r="H7" s="27" t="s">
        <v>148</v>
      </c>
      <c r="I7" s="27" t="s">
        <v>20</v>
      </c>
      <c r="J7" s="29" t="n">
        <v>46261</v>
      </c>
    </row>
    <row r="8" customFormat="false" ht="31.5" hidden="false" customHeight="true" outlineLevel="0" collapsed="false">
      <c r="A8" s="27" t="s">
        <v>149</v>
      </c>
      <c r="B8" s="27" t="s">
        <v>150</v>
      </c>
      <c r="C8" s="27" t="s">
        <v>151</v>
      </c>
      <c r="D8" s="27" t="s">
        <v>74</v>
      </c>
      <c r="E8" s="27" t="s">
        <v>152</v>
      </c>
      <c r="F8" s="29" t="n">
        <v>45971</v>
      </c>
      <c r="G8" s="27" t="s">
        <v>18</v>
      </c>
      <c r="H8" s="27" t="s">
        <v>138</v>
      </c>
      <c r="I8" s="27" t="s">
        <v>18</v>
      </c>
      <c r="J8" s="29" t="n">
        <v>46336</v>
      </c>
    </row>
    <row r="9" customFormat="false" ht="31.5" hidden="false" customHeight="true" outlineLevel="0" collapsed="false">
      <c r="A9" s="27" t="s">
        <v>153</v>
      </c>
      <c r="B9" s="27" t="s">
        <v>154</v>
      </c>
      <c r="C9" s="27" t="s">
        <v>141</v>
      </c>
      <c r="D9" s="27" t="s">
        <v>59</v>
      </c>
      <c r="E9" s="27" t="s">
        <v>137</v>
      </c>
      <c r="F9" s="29" t="n">
        <v>46162</v>
      </c>
      <c r="G9" s="27" t="s">
        <v>20</v>
      </c>
      <c r="H9" s="27" t="s">
        <v>148</v>
      </c>
      <c r="I9" s="27" t="s">
        <v>20</v>
      </c>
      <c r="J9" s="29" t="n">
        <v>46252</v>
      </c>
    </row>
    <row r="10" customFormat="false" ht="31.5" hidden="false" customHeight="true" outlineLevel="0" collapsed="false">
      <c r="A10" s="27" t="s">
        <v>155</v>
      </c>
      <c r="B10" s="27" t="s">
        <v>156</v>
      </c>
      <c r="C10" s="27" t="s">
        <v>157</v>
      </c>
      <c r="D10" s="27" t="s">
        <v>69</v>
      </c>
      <c r="E10" s="27" t="s">
        <v>158</v>
      </c>
      <c r="F10" s="29" t="n">
        <v>46204</v>
      </c>
      <c r="G10" s="27" t="s">
        <v>18</v>
      </c>
      <c r="H10" s="27" t="s">
        <v>138</v>
      </c>
      <c r="I10" s="27" t="s">
        <v>18</v>
      </c>
      <c r="J10" s="29" t="n">
        <v>46234</v>
      </c>
    </row>
    <row r="11" customFormat="false" ht="31.5" hidden="false" customHeight="true" outlineLevel="0" collapsed="false">
      <c r="A11" s="27" t="s">
        <v>159</v>
      </c>
      <c r="B11" s="27" t="s">
        <v>160</v>
      </c>
      <c r="C11" s="27" t="s">
        <v>161</v>
      </c>
      <c r="D11" s="27" t="s">
        <v>86</v>
      </c>
      <c r="E11" s="27" t="s">
        <v>152</v>
      </c>
      <c r="F11" s="29" t="n">
        <v>45915</v>
      </c>
      <c r="G11" s="27" t="s">
        <v>24</v>
      </c>
      <c r="H11" s="27" t="s">
        <v>162</v>
      </c>
      <c r="I11" s="27" t="s">
        <v>24</v>
      </c>
      <c r="J11" s="29" t="n">
        <v>46280</v>
      </c>
    </row>
    <row r="12" customFormat="false" ht="31.5" hidden="false" customHeight="true" outlineLevel="0" collapsed="false">
      <c r="A12" s="27" t="s">
        <v>163</v>
      </c>
      <c r="B12" s="27" t="s">
        <v>164</v>
      </c>
      <c r="C12" s="27" t="s">
        <v>145</v>
      </c>
      <c r="D12" s="27" t="s">
        <v>59</v>
      </c>
      <c r="E12" s="27" t="s">
        <v>152</v>
      </c>
      <c r="F12" s="29" t="n">
        <v>46082</v>
      </c>
      <c r="G12" s="27" t="s">
        <v>18</v>
      </c>
      <c r="H12" s="27" t="s">
        <v>138</v>
      </c>
      <c r="I12" s="27" t="s">
        <v>18</v>
      </c>
      <c r="J12" s="29" t="n">
        <v>46447</v>
      </c>
    </row>
    <row r="13" customFormat="false" ht="31.5" hidden="false" customHeight="true" outlineLevel="0" collapsed="false">
      <c r="A13" s="27" t="s">
        <v>165</v>
      </c>
      <c r="B13" s="27" t="s">
        <v>166</v>
      </c>
      <c r="C13" s="27" t="s">
        <v>161</v>
      </c>
      <c r="D13" s="27" t="s">
        <v>94</v>
      </c>
      <c r="E13" s="27" t="s">
        <v>167</v>
      </c>
      <c r="F13" s="29" t="n">
        <v>46081</v>
      </c>
      <c r="G13" s="27" t="s">
        <v>20</v>
      </c>
      <c r="H13" s="27" t="s">
        <v>148</v>
      </c>
      <c r="I13" s="27" t="s">
        <v>20</v>
      </c>
      <c r="J13" s="29" t="n">
        <v>46263</v>
      </c>
    </row>
    <row r="14" customFormat="false" ht="31.5" hidden="false" customHeight="true" outlineLevel="0" collapsed="false">
      <c r="A14" s="27" t="s">
        <v>168</v>
      </c>
      <c r="B14" s="27" t="s">
        <v>169</v>
      </c>
      <c r="C14" s="27" t="s">
        <v>170</v>
      </c>
      <c r="D14" s="27" t="s">
        <v>98</v>
      </c>
      <c r="E14" s="27" t="s">
        <v>137</v>
      </c>
      <c r="F14" s="29" t="n">
        <v>46218</v>
      </c>
      <c r="G14" s="27" t="s">
        <v>18</v>
      </c>
      <c r="H14" s="27" t="s">
        <v>138</v>
      </c>
      <c r="I14" s="27" t="s">
        <v>18</v>
      </c>
      <c r="J14" s="29" t="n">
        <v>46308</v>
      </c>
    </row>
    <row r="15" customFormat="false" ht="31.5" hidden="false" customHeight="true" outlineLevel="0" collapsed="false">
      <c r="A15" s="27" t="s">
        <v>171</v>
      </c>
      <c r="B15" s="27" t="s">
        <v>172</v>
      </c>
      <c r="C15" s="27" t="s">
        <v>145</v>
      </c>
      <c r="D15" s="27" t="s">
        <v>103</v>
      </c>
      <c r="E15" s="27" t="s">
        <v>142</v>
      </c>
      <c r="F15" s="29" t="n">
        <v>46244</v>
      </c>
      <c r="G15" s="27" t="s">
        <v>18</v>
      </c>
      <c r="H15" s="27" t="s">
        <v>138</v>
      </c>
      <c r="I15" s="27" t="s">
        <v>18</v>
      </c>
      <c r="J15" s="29" t="n">
        <v>46274</v>
      </c>
    </row>
    <row r="16" customFormat="false" ht="31.5" hidden="false" customHeight="true" outlineLevel="0" collapsed="false">
      <c r="A16" s="27" t="s">
        <v>173</v>
      </c>
      <c r="B16" s="27" t="s">
        <v>174</v>
      </c>
      <c r="C16" s="27" t="s">
        <v>175</v>
      </c>
      <c r="D16" s="27" t="s">
        <v>98</v>
      </c>
      <c r="E16" s="27" t="s">
        <v>176</v>
      </c>
      <c r="F16" s="29" t="n">
        <v>46239</v>
      </c>
      <c r="G16" s="27" t="s">
        <v>20</v>
      </c>
      <c r="H16" s="27" t="s">
        <v>148</v>
      </c>
      <c r="I16" s="27" t="s">
        <v>20</v>
      </c>
      <c r="J16" s="29" t="n">
        <v>46269</v>
      </c>
    </row>
    <row r="17" customFormat="false" ht="31.5" hidden="false" customHeight="true" outlineLevel="0" collapsed="false">
      <c r="A17" s="27" t="s">
        <v>177</v>
      </c>
      <c r="B17" s="27" t="s">
        <v>178</v>
      </c>
      <c r="C17" s="27" t="s">
        <v>179</v>
      </c>
      <c r="D17" s="27" t="s">
        <v>59</v>
      </c>
      <c r="E17" s="27" t="s">
        <v>147</v>
      </c>
      <c r="F17" s="29" t="n">
        <v>46256</v>
      </c>
      <c r="G17" s="27" t="s">
        <v>18</v>
      </c>
      <c r="H17" s="27" t="s">
        <v>138</v>
      </c>
      <c r="I17" s="27" t="s">
        <v>18</v>
      </c>
      <c r="J17" s="29" t="n">
        <v>46263</v>
      </c>
    </row>
    <row r="18" customFormat="false" ht="31.5" hidden="false" customHeight="true" outlineLevel="0" collapsed="false">
      <c r="A18" s="27" t="s">
        <v>180</v>
      </c>
      <c r="B18" s="27" t="s">
        <v>181</v>
      </c>
      <c r="C18" s="27" t="s">
        <v>182</v>
      </c>
      <c r="D18" s="27" t="s">
        <v>114</v>
      </c>
      <c r="E18" s="27" t="s">
        <v>142</v>
      </c>
      <c r="F18" s="29" t="n">
        <v>46233</v>
      </c>
      <c r="G18" s="27" t="s">
        <v>18</v>
      </c>
      <c r="H18" s="27" t="s">
        <v>138</v>
      </c>
      <c r="I18" s="27" t="s">
        <v>18</v>
      </c>
      <c r="J18" s="29" t="n">
        <v>46263</v>
      </c>
    </row>
    <row r="19" customFormat="false" ht="31.5" hidden="false" customHeight="true" outlineLevel="0" collapsed="false">
      <c r="A19" s="27" t="s">
        <v>183</v>
      </c>
      <c r="B19" s="27" t="s">
        <v>184</v>
      </c>
      <c r="C19" s="27" t="s">
        <v>141</v>
      </c>
      <c r="D19" s="27" t="s">
        <v>59</v>
      </c>
      <c r="E19" s="27" t="s">
        <v>147</v>
      </c>
      <c r="F19" s="29" t="n">
        <v>46252</v>
      </c>
      <c r="G19" s="27" t="s">
        <v>22</v>
      </c>
      <c r="H19" s="27" t="s">
        <v>162</v>
      </c>
      <c r="I19" s="27" t="s">
        <v>22</v>
      </c>
      <c r="J19" s="29" t="n">
        <v>46259</v>
      </c>
    </row>
    <row r="20" customFormat="false" ht="31.5" hidden="false" customHeight="true" outlineLevel="0" collapsed="false">
      <c r="A20" s="27" t="s">
        <v>185</v>
      </c>
      <c r="B20" s="27" t="s">
        <v>186</v>
      </c>
      <c r="C20" s="27" t="s">
        <v>187</v>
      </c>
      <c r="D20" s="27" t="s">
        <v>64</v>
      </c>
      <c r="E20" s="27" t="s">
        <v>152</v>
      </c>
      <c r="F20" s="29" t="n">
        <v>45996</v>
      </c>
      <c r="G20" s="27" t="s">
        <v>20</v>
      </c>
      <c r="H20" s="27" t="s">
        <v>148</v>
      </c>
      <c r="I20" s="27" t="s">
        <v>20</v>
      </c>
      <c r="J20" s="29" t="n">
        <v>46361</v>
      </c>
    </row>
    <row r="21" customFormat="false" ht="31.5" hidden="false" customHeight="true" outlineLevel="0" collapsed="false">
      <c r="A21" s="27" t="s">
        <v>188</v>
      </c>
      <c r="B21" s="27" t="s">
        <v>189</v>
      </c>
      <c r="C21" s="27" t="s">
        <v>190</v>
      </c>
      <c r="D21" s="27" t="s">
        <v>124</v>
      </c>
      <c r="E21" s="27" t="s">
        <v>152</v>
      </c>
      <c r="F21" s="29" t="n">
        <v>46042</v>
      </c>
      <c r="G21" s="27" t="s">
        <v>18</v>
      </c>
      <c r="H21" s="27" t="s">
        <v>138</v>
      </c>
      <c r="I21" s="27" t="s">
        <v>18</v>
      </c>
      <c r="J21" s="29" t="n">
        <v>46407</v>
      </c>
    </row>
    <row r="22" customFormat="false" ht="31.5" hidden="false" customHeight="true" outlineLevel="0" collapsed="false">
      <c r="A22" s="27" t="s">
        <v>191</v>
      </c>
      <c r="B22" s="27" t="s">
        <v>192</v>
      </c>
      <c r="C22" s="27" t="s">
        <v>141</v>
      </c>
      <c r="D22" s="27" t="s">
        <v>193</v>
      </c>
      <c r="E22" s="27" t="s">
        <v>167</v>
      </c>
      <c r="F22" s="29" t="n">
        <v>46124</v>
      </c>
      <c r="G22" s="27" t="s">
        <v>18</v>
      </c>
      <c r="H22" s="27" t="s">
        <v>138</v>
      </c>
      <c r="I22" s="27" t="s">
        <v>18</v>
      </c>
      <c r="J22" s="29" t="n">
        <v>46306</v>
      </c>
    </row>
  </sheetData>
  <autoFilter ref="A4:J22"/>
  <mergeCells count="2">
    <mergeCell ref="A1:J1"/>
    <mergeCell ref="A2:J2"/>
  </mergeCells>
  <conditionalFormatting sqref="I5:I22">
    <cfRule type="cellIs" priority="2" operator="equal" aboveAverage="0" equalAverage="0" bottom="0" percent="0" rank="0" text="" dxfId="16">
      <formula>"Effective"</formula>
    </cfRule>
    <cfRule type="cellIs" priority="3" operator="equal" aboveAverage="0" equalAverage="0" bottom="0" percent="0" rank="0" text="" dxfId="17">
      <formula>"Partially Effective"</formula>
    </cfRule>
    <cfRule type="cellIs" priority="4" operator="equal" aboveAverage="0" equalAverage="0" bottom="0" percent="0" rank="0" text="" dxfId="18">
      <formula>"Ineffective"</formula>
    </cfRule>
    <cfRule type="cellIs" priority="5" operator="equal" aboveAverage="0" equalAverage="0" bottom="0" percent="0" rank="0" text="" dxfId="19">
      <formula>"Not Tested"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55"/>
    <col collapsed="false" customWidth="true" hidden="false" outlineLevel="0" max="4" min="3" style="1" width="10"/>
    <col collapsed="false" customWidth="true" hidden="false" outlineLevel="0" max="6" min="5" style="1" width="14"/>
    <col collapsed="false" customWidth="true" hidden="false" outlineLevel="0" max="8" min="7" style="1" width="12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50"/>
  </cols>
  <sheetData>
    <row r="1" customFormat="false" ht="21.75" hidden="false" customHeight="true" outlineLevel="0" collapsed="false">
      <c r="A1" s="26" t="s">
        <v>194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customFormat="false" ht="15" hidden="false" customHeight="true" outlineLevel="0" collapsed="false">
      <c r="A2" s="3" t="s">
        <v>195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1.75" hidden="false" customHeight="true" outlineLevel="0" collapsed="false">
      <c r="A4" s="17" t="s">
        <v>196</v>
      </c>
      <c r="B4" s="17" t="s">
        <v>197</v>
      </c>
      <c r="C4" s="17" t="s">
        <v>54</v>
      </c>
      <c r="D4" s="17" t="s">
        <v>198</v>
      </c>
      <c r="E4" s="17" t="s">
        <v>41</v>
      </c>
      <c r="F4" s="17" t="s">
        <v>199</v>
      </c>
      <c r="G4" s="17" t="s">
        <v>200</v>
      </c>
      <c r="H4" s="17" t="s">
        <v>28</v>
      </c>
      <c r="I4" s="17" t="s">
        <v>201</v>
      </c>
      <c r="J4" s="17" t="s">
        <v>202</v>
      </c>
      <c r="K4" s="17" t="s">
        <v>203</v>
      </c>
    </row>
    <row r="5" customFormat="false" ht="36" hidden="false" customHeight="true" outlineLevel="0" collapsed="false">
      <c r="A5" s="27" t="s">
        <v>204</v>
      </c>
      <c r="B5" s="27" t="s">
        <v>205</v>
      </c>
      <c r="C5" s="27" t="s">
        <v>134</v>
      </c>
      <c r="D5" s="27" t="s">
        <v>17</v>
      </c>
      <c r="E5" s="27" t="s">
        <v>59</v>
      </c>
      <c r="F5" s="29" t="n">
        <v>46152</v>
      </c>
      <c r="G5" s="29" t="n">
        <v>46213</v>
      </c>
      <c r="H5" s="27" t="s">
        <v>29</v>
      </c>
      <c r="I5" s="27" t="n">
        <f aca="true">IF(H5="Closed",G5-F5,TODAY()-F5)</f>
        <v>105</v>
      </c>
      <c r="J5" s="27" t="str">
        <f aca="true">IF(AND(H5&lt;&gt;"Closed",TODAY()&gt;G5),"Yes","No")</f>
        <v>Yes</v>
      </c>
      <c r="K5" s="27" t="s">
        <v>206</v>
      </c>
    </row>
    <row r="6" customFormat="false" ht="36" hidden="false" customHeight="true" outlineLevel="0" collapsed="false">
      <c r="A6" s="27" t="s">
        <v>207</v>
      </c>
      <c r="B6" s="27" t="s">
        <v>208</v>
      </c>
      <c r="C6" s="27" t="s">
        <v>139</v>
      </c>
      <c r="D6" s="27" t="s">
        <v>19</v>
      </c>
      <c r="E6" s="27" t="s">
        <v>59</v>
      </c>
      <c r="F6" s="29" t="n">
        <v>46174</v>
      </c>
      <c r="G6" s="29" t="n">
        <v>46235</v>
      </c>
      <c r="H6" s="27" t="s">
        <v>31</v>
      </c>
      <c r="I6" s="27" t="n">
        <f aca="true">IF(H6="Closed",G6-F6,TODAY()-F6)</f>
        <v>83</v>
      </c>
      <c r="J6" s="27" t="str">
        <f aca="true">IF(AND(H6&lt;&gt;"Closed",TODAY()&gt;G6),"Yes","No")</f>
        <v>Yes</v>
      </c>
      <c r="K6" s="27" t="s">
        <v>209</v>
      </c>
    </row>
    <row r="7" customFormat="false" ht="36" hidden="false" customHeight="true" outlineLevel="0" collapsed="false">
      <c r="A7" s="27" t="s">
        <v>210</v>
      </c>
      <c r="B7" s="27" t="s">
        <v>211</v>
      </c>
      <c r="C7" s="27" t="s">
        <v>143</v>
      </c>
      <c r="D7" s="27" t="s">
        <v>19</v>
      </c>
      <c r="E7" s="27" t="s">
        <v>146</v>
      </c>
      <c r="F7" s="29" t="n">
        <v>46127</v>
      </c>
      <c r="G7" s="29" t="n">
        <v>46188</v>
      </c>
      <c r="H7" s="27" t="s">
        <v>29</v>
      </c>
      <c r="I7" s="27" t="n">
        <f aca="true">IF(H7="Closed",G7-F7,TODAY()-F7)</f>
        <v>130</v>
      </c>
      <c r="J7" s="27" t="str">
        <f aca="true">IF(AND(H7&lt;&gt;"Closed",TODAY()&gt;G7),"Yes","No")</f>
        <v>Yes</v>
      </c>
      <c r="K7" s="27" t="s">
        <v>212</v>
      </c>
    </row>
    <row r="8" customFormat="false" ht="36" hidden="false" customHeight="true" outlineLevel="0" collapsed="false">
      <c r="A8" s="27" t="s">
        <v>213</v>
      </c>
      <c r="B8" s="27" t="s">
        <v>214</v>
      </c>
      <c r="C8" s="27" t="s">
        <v>149</v>
      </c>
      <c r="D8" s="27" t="s">
        <v>21</v>
      </c>
      <c r="E8" s="27" t="s">
        <v>74</v>
      </c>
      <c r="F8" s="29" t="n">
        <v>46101</v>
      </c>
      <c r="G8" s="29" t="n">
        <v>46193</v>
      </c>
      <c r="H8" s="27" t="s">
        <v>31</v>
      </c>
      <c r="I8" s="27" t="n">
        <f aca="true">IF(H8="Closed",G8-F8,TODAY()-F8)</f>
        <v>156</v>
      </c>
      <c r="J8" s="27" t="str">
        <f aca="true">IF(AND(H8&lt;&gt;"Closed",TODAY()&gt;G8),"Yes","No")</f>
        <v>Yes</v>
      </c>
      <c r="K8" s="27" t="s">
        <v>215</v>
      </c>
    </row>
    <row r="9" customFormat="false" ht="36" hidden="false" customHeight="true" outlineLevel="0" collapsed="false">
      <c r="A9" s="27" t="s">
        <v>216</v>
      </c>
      <c r="B9" s="27" t="s">
        <v>217</v>
      </c>
      <c r="C9" s="27" t="s">
        <v>153</v>
      </c>
      <c r="D9" s="27" t="s">
        <v>19</v>
      </c>
      <c r="E9" s="27" t="s">
        <v>59</v>
      </c>
      <c r="F9" s="29" t="n">
        <v>46167</v>
      </c>
      <c r="G9" s="29" t="n">
        <v>46259</v>
      </c>
      <c r="H9" s="27" t="s">
        <v>29</v>
      </c>
      <c r="I9" s="27" t="n">
        <f aca="true">IF(H9="Closed",G9-F9,TODAY()-F9)</f>
        <v>90</v>
      </c>
      <c r="J9" s="27" t="str">
        <f aca="true">IF(AND(H9&lt;&gt;"Closed",TODAY()&gt;G9),"Yes","No")</f>
        <v>No</v>
      </c>
      <c r="K9" s="27" t="s">
        <v>218</v>
      </c>
    </row>
    <row r="10" customFormat="false" ht="36" hidden="false" customHeight="true" outlineLevel="0" collapsed="false">
      <c r="A10" s="27" t="s">
        <v>219</v>
      </c>
      <c r="B10" s="27" t="s">
        <v>220</v>
      </c>
      <c r="C10" s="27" t="s">
        <v>165</v>
      </c>
      <c r="D10" s="27" t="s">
        <v>19</v>
      </c>
      <c r="E10" s="27" t="s">
        <v>94</v>
      </c>
      <c r="F10" s="29" t="n">
        <v>46081</v>
      </c>
      <c r="G10" s="29" t="n">
        <v>46170</v>
      </c>
      <c r="H10" s="27" t="s">
        <v>29</v>
      </c>
      <c r="I10" s="27" t="n">
        <f aca="true">IF(H10="Closed",G10-F10,TODAY()-F10)</f>
        <v>176</v>
      </c>
      <c r="J10" s="27" t="str">
        <f aca="true">IF(AND(H10&lt;&gt;"Closed",TODAY()&gt;G10),"Yes","No")</f>
        <v>Yes</v>
      </c>
      <c r="K10" s="27" t="s">
        <v>221</v>
      </c>
    </row>
    <row r="11" customFormat="false" ht="36" hidden="false" customHeight="true" outlineLevel="0" collapsed="false">
      <c r="A11" s="27" t="s">
        <v>222</v>
      </c>
      <c r="B11" s="27" t="s">
        <v>223</v>
      </c>
      <c r="C11" s="27" t="s">
        <v>173</v>
      </c>
      <c r="D11" s="27" t="s">
        <v>21</v>
      </c>
      <c r="E11" s="27" t="s">
        <v>98</v>
      </c>
      <c r="F11" s="29" t="n">
        <v>46204</v>
      </c>
      <c r="G11" s="29" t="n">
        <v>46266</v>
      </c>
      <c r="H11" s="27" t="s">
        <v>31</v>
      </c>
      <c r="I11" s="27" t="n">
        <f aca="true">IF(H11="Closed",G11-F11,TODAY()-F11)</f>
        <v>53</v>
      </c>
      <c r="J11" s="27" t="str">
        <f aca="true">IF(AND(H11&lt;&gt;"Closed",TODAY()&gt;G11),"Yes","No")</f>
        <v>No</v>
      </c>
      <c r="K11" s="27" t="s">
        <v>224</v>
      </c>
    </row>
    <row r="12" customFormat="false" ht="36" hidden="false" customHeight="true" outlineLevel="0" collapsed="false">
      <c r="A12" s="27" t="s">
        <v>225</v>
      </c>
      <c r="B12" s="27" t="s">
        <v>226</v>
      </c>
      <c r="C12" s="27" t="s">
        <v>183</v>
      </c>
      <c r="D12" s="27" t="s">
        <v>19</v>
      </c>
      <c r="E12" s="27" t="s">
        <v>59</v>
      </c>
      <c r="F12" s="29" t="n">
        <v>46188</v>
      </c>
      <c r="G12" s="29" t="n">
        <v>46249</v>
      </c>
      <c r="H12" s="27" t="s">
        <v>29</v>
      </c>
      <c r="I12" s="27" t="n">
        <f aca="true">IF(H12="Closed",G12-F12,TODAY()-F12)</f>
        <v>69</v>
      </c>
      <c r="J12" s="27" t="str">
        <f aca="true">IF(AND(H12&lt;&gt;"Closed",TODAY()&gt;G12),"Yes","No")</f>
        <v>Yes</v>
      </c>
      <c r="K12" s="27" t="s">
        <v>227</v>
      </c>
    </row>
    <row r="13" customFormat="false" ht="36" hidden="false" customHeight="true" outlineLevel="0" collapsed="false">
      <c r="A13" s="27" t="s">
        <v>228</v>
      </c>
      <c r="B13" s="27" t="s">
        <v>229</v>
      </c>
      <c r="C13" s="27" t="s">
        <v>185</v>
      </c>
      <c r="D13" s="27" t="s">
        <v>21</v>
      </c>
      <c r="E13" s="27" t="s">
        <v>64</v>
      </c>
      <c r="F13" s="29" t="n">
        <v>46001</v>
      </c>
      <c r="G13" s="29" t="n">
        <v>46091</v>
      </c>
      <c r="H13" s="27" t="s">
        <v>33</v>
      </c>
      <c r="I13" s="27" t="n">
        <f aca="true">IF(H13="Closed",G13-F13,TODAY()-F13)</f>
        <v>90</v>
      </c>
      <c r="J13" s="27" t="str">
        <f aca="true">IF(AND(H13&lt;&gt;"Closed",TODAY()&gt;G13),"Yes","No")</f>
        <v>No</v>
      </c>
      <c r="K13" s="27" t="s">
        <v>230</v>
      </c>
    </row>
    <row r="14" customFormat="false" ht="36" hidden="false" customHeight="true" outlineLevel="0" collapsed="false">
      <c r="A14" s="27" t="s">
        <v>231</v>
      </c>
      <c r="B14" s="27" t="s">
        <v>232</v>
      </c>
      <c r="C14" s="27" t="s">
        <v>177</v>
      </c>
      <c r="D14" s="27" t="s">
        <v>21</v>
      </c>
      <c r="E14" s="27" t="s">
        <v>59</v>
      </c>
      <c r="F14" s="29" t="n">
        <v>46223</v>
      </c>
      <c r="G14" s="29" t="n">
        <v>46285</v>
      </c>
      <c r="H14" s="27" t="s">
        <v>29</v>
      </c>
      <c r="I14" s="27" t="n">
        <f aca="true">IF(H14="Closed",G14-F14,TODAY()-F14)</f>
        <v>34</v>
      </c>
      <c r="J14" s="27" t="str">
        <f aca="true">IF(AND(H14&lt;&gt;"Closed",TODAY()&gt;G14),"Yes","No")</f>
        <v>No</v>
      </c>
      <c r="K14" s="27" t="s">
        <v>233</v>
      </c>
    </row>
    <row r="15" customFormat="false" ht="36" hidden="false" customHeight="true" outlineLevel="0" collapsed="false">
      <c r="A15" s="27" t="s">
        <v>234</v>
      </c>
      <c r="B15" s="27" t="s">
        <v>235</v>
      </c>
      <c r="C15" s="27" t="s">
        <v>163</v>
      </c>
      <c r="D15" s="27" t="s">
        <v>23</v>
      </c>
      <c r="E15" s="27" t="s">
        <v>59</v>
      </c>
      <c r="F15" s="29" t="n">
        <v>46113</v>
      </c>
      <c r="G15" s="29" t="n">
        <v>46174</v>
      </c>
      <c r="H15" s="27" t="s">
        <v>33</v>
      </c>
      <c r="I15" s="27" t="n">
        <f aca="true">IF(H15="Closed",G15-F15,TODAY()-F15)</f>
        <v>61</v>
      </c>
      <c r="J15" s="27" t="str">
        <f aca="true">IF(AND(H15&lt;&gt;"Closed",TODAY()&gt;G15),"Yes","No")</f>
        <v>No</v>
      </c>
      <c r="K15" s="27" t="s">
        <v>236</v>
      </c>
    </row>
    <row r="16" customFormat="false" ht="36" hidden="false" customHeight="true" outlineLevel="0" collapsed="false">
      <c r="A16" s="27" t="s">
        <v>237</v>
      </c>
      <c r="B16" s="27" t="s">
        <v>238</v>
      </c>
      <c r="C16" s="27" t="s">
        <v>191</v>
      </c>
      <c r="D16" s="27" t="s">
        <v>19</v>
      </c>
      <c r="E16" s="27" t="s">
        <v>193</v>
      </c>
      <c r="F16" s="29" t="n">
        <v>46147</v>
      </c>
      <c r="G16" s="29" t="n">
        <v>46239</v>
      </c>
      <c r="H16" s="27" t="s">
        <v>31</v>
      </c>
      <c r="I16" s="27" t="n">
        <f aca="true">IF(H16="Closed",G16-F16,TODAY()-F16)</f>
        <v>110</v>
      </c>
      <c r="J16" s="27" t="str">
        <f aca="true">IF(AND(H16&lt;&gt;"Closed",TODAY()&gt;G16),"Yes","No")</f>
        <v>Yes</v>
      </c>
      <c r="K16" s="27" t="s">
        <v>239</v>
      </c>
    </row>
  </sheetData>
  <autoFilter ref="A4:K16"/>
  <mergeCells count="2">
    <mergeCell ref="A1:K1"/>
    <mergeCell ref="A2:K2"/>
  </mergeCells>
  <conditionalFormatting sqref="H5:H16">
    <cfRule type="cellIs" priority="2" operator="equal" aboveAverage="0" equalAverage="0" bottom="0" percent="0" rank="0" text="" dxfId="24">
      <formula>"Open"</formula>
    </cfRule>
    <cfRule type="cellIs" priority="3" operator="equal" aboveAverage="0" equalAverage="0" bottom="0" percent="0" rank="0" text="" dxfId="25">
      <formula>"In Progress"</formula>
    </cfRule>
    <cfRule type="cellIs" priority="4" operator="equal" aboveAverage="0" equalAverage="0" bottom="0" percent="0" rank="0" text="" dxfId="26">
      <formula>"Closed"</formula>
    </cfRule>
  </conditionalFormatting>
  <conditionalFormatting sqref="J5:J16">
    <cfRule type="cellIs" priority="5" operator="equal" aboveAverage="0" equalAverage="0" bottom="0" percent="0" rank="0" text="" dxfId="27">
      <formula>"Yes"</formula>
    </cfRule>
    <cfRule type="cellIs" priority="6" operator="equal" aboveAverage="0" equalAverage="0" bottom="0" percent="0" rank="0" text="" dxfId="26">
      <formula>"No"</formula>
    </cfRule>
  </conditionalFormatting>
  <conditionalFormatting sqref="D5:D16">
    <cfRule type="cellIs" priority="7" operator="equal" aboveAverage="0" equalAverage="0" bottom="0" percent="0" rank="0" text="" dxfId="28">
      <formula>"Critical"</formula>
    </cfRule>
    <cfRule type="cellIs" priority="8" operator="equal" aboveAverage="0" equalAverage="0" bottom="0" percent="0" rank="0" text="" dxfId="29">
      <formula>"High"</formula>
    </cfRule>
    <cfRule type="cellIs" priority="9" operator="equal" aboveAverage="0" equalAverage="0" bottom="0" percent="0" rank="0" text="" dxfId="30">
      <formula>"Medium"</formula>
    </cfRule>
    <cfRule type="cellIs" priority="10" operator="equal" aboveAverage="0" equalAverage="0" bottom="0" percent="0" rank="0" text="" dxfId="31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55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8" min="6" style="1" width="12"/>
    <col collapsed="false" customWidth="true" hidden="false" outlineLevel="0" max="9" min="9" style="1" width="35"/>
    <col collapsed="false" customWidth="true" hidden="false" outlineLevel="0" max="10" min="10" style="1" width="14"/>
    <col collapsed="false" customWidth="true" hidden="false" outlineLevel="0" max="12" min="11" style="1" width="12"/>
  </cols>
  <sheetData>
    <row r="1" customFormat="false" ht="21.75" hidden="false" customHeight="true" outlineLevel="0" collapsed="false">
      <c r="A1" s="26" t="s">
        <v>240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customFormat="false" ht="15" hidden="false" customHeight="true" outlineLevel="0" collapsed="false">
      <c r="A2" s="3" t="s">
        <v>241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1.75" hidden="false" customHeight="true" outlineLevel="0" collapsed="false">
      <c r="A4" s="17" t="s">
        <v>242</v>
      </c>
      <c r="B4" s="17" t="s">
        <v>196</v>
      </c>
      <c r="C4" s="17" t="s">
        <v>243</v>
      </c>
      <c r="D4" s="17" t="s">
        <v>41</v>
      </c>
      <c r="E4" s="17" t="s">
        <v>244</v>
      </c>
      <c r="F4" s="17" t="s">
        <v>245</v>
      </c>
      <c r="G4" s="17" t="s">
        <v>28</v>
      </c>
      <c r="H4" s="17" t="s">
        <v>246</v>
      </c>
      <c r="I4" s="17" t="s">
        <v>247</v>
      </c>
      <c r="J4" s="17" t="s">
        <v>248</v>
      </c>
      <c r="K4" s="17" t="s">
        <v>249</v>
      </c>
      <c r="L4" s="17" t="s">
        <v>250</v>
      </c>
    </row>
    <row r="5" customFormat="false" ht="36" hidden="false" customHeight="true" outlineLevel="0" collapsed="false">
      <c r="A5" s="27" t="s">
        <v>251</v>
      </c>
      <c r="B5" s="27" t="s">
        <v>204</v>
      </c>
      <c r="C5" s="27" t="s">
        <v>252</v>
      </c>
      <c r="D5" s="27" t="s">
        <v>59</v>
      </c>
      <c r="E5" s="27" t="s">
        <v>17</v>
      </c>
      <c r="F5" s="29" t="n">
        <v>46213</v>
      </c>
      <c r="G5" s="27" t="s">
        <v>31</v>
      </c>
      <c r="H5" s="30" t="n">
        <v>0.65</v>
      </c>
      <c r="I5" s="27" t="s">
        <v>253</v>
      </c>
      <c r="J5" s="27" t="s">
        <v>254</v>
      </c>
      <c r="K5" s="27"/>
      <c r="L5" s="27"/>
    </row>
    <row r="6" customFormat="false" ht="36" hidden="false" customHeight="true" outlineLevel="0" collapsed="false">
      <c r="A6" s="27" t="s">
        <v>255</v>
      </c>
      <c r="B6" s="27" t="s">
        <v>207</v>
      </c>
      <c r="C6" s="27" t="s">
        <v>256</v>
      </c>
      <c r="D6" s="27" t="s">
        <v>59</v>
      </c>
      <c r="E6" s="27" t="s">
        <v>19</v>
      </c>
      <c r="F6" s="29" t="n">
        <v>46235</v>
      </c>
      <c r="G6" s="27" t="s">
        <v>31</v>
      </c>
      <c r="H6" s="30" t="n">
        <v>0.8</v>
      </c>
      <c r="I6" s="27" t="s">
        <v>257</v>
      </c>
      <c r="J6" s="27" t="s">
        <v>254</v>
      </c>
      <c r="K6" s="27"/>
      <c r="L6" s="27"/>
    </row>
    <row r="7" customFormat="false" ht="36" hidden="false" customHeight="true" outlineLevel="0" collapsed="false">
      <c r="A7" s="27" t="s">
        <v>258</v>
      </c>
      <c r="B7" s="27" t="s">
        <v>210</v>
      </c>
      <c r="C7" s="27" t="s">
        <v>259</v>
      </c>
      <c r="D7" s="27" t="s">
        <v>146</v>
      </c>
      <c r="E7" s="27" t="s">
        <v>19</v>
      </c>
      <c r="F7" s="29" t="n">
        <v>46188</v>
      </c>
      <c r="G7" s="27" t="s">
        <v>29</v>
      </c>
      <c r="H7" s="30" t="n">
        <v>0.2</v>
      </c>
      <c r="I7" s="27" t="s">
        <v>260</v>
      </c>
      <c r="J7" s="27" t="s">
        <v>254</v>
      </c>
      <c r="K7" s="27"/>
      <c r="L7" s="27"/>
    </row>
    <row r="8" customFormat="false" ht="36" hidden="false" customHeight="true" outlineLevel="0" collapsed="false">
      <c r="A8" s="27" t="s">
        <v>261</v>
      </c>
      <c r="B8" s="27" t="s">
        <v>213</v>
      </c>
      <c r="C8" s="27" t="s">
        <v>262</v>
      </c>
      <c r="D8" s="27" t="s">
        <v>74</v>
      </c>
      <c r="E8" s="27" t="s">
        <v>21</v>
      </c>
      <c r="F8" s="29" t="n">
        <v>46193</v>
      </c>
      <c r="G8" s="27" t="s">
        <v>31</v>
      </c>
      <c r="H8" s="30" t="n">
        <v>0.7</v>
      </c>
      <c r="I8" s="27" t="s">
        <v>263</v>
      </c>
      <c r="J8" s="27" t="s">
        <v>264</v>
      </c>
      <c r="K8" s="27"/>
      <c r="L8" s="27"/>
    </row>
    <row r="9" customFormat="false" ht="36" hidden="false" customHeight="true" outlineLevel="0" collapsed="false">
      <c r="A9" s="27" t="s">
        <v>265</v>
      </c>
      <c r="B9" s="27" t="s">
        <v>216</v>
      </c>
      <c r="C9" s="27" t="s">
        <v>266</v>
      </c>
      <c r="D9" s="27" t="s">
        <v>59</v>
      </c>
      <c r="E9" s="27" t="s">
        <v>19</v>
      </c>
      <c r="F9" s="29" t="n">
        <v>46259</v>
      </c>
      <c r="G9" s="27" t="s">
        <v>29</v>
      </c>
      <c r="H9" s="30" t="n">
        <v>0.15</v>
      </c>
      <c r="I9" s="27" t="s">
        <v>267</v>
      </c>
      <c r="J9" s="27" t="s">
        <v>254</v>
      </c>
      <c r="K9" s="27"/>
      <c r="L9" s="27"/>
    </row>
    <row r="10" customFormat="false" ht="36" hidden="false" customHeight="true" outlineLevel="0" collapsed="false">
      <c r="A10" s="27" t="s">
        <v>268</v>
      </c>
      <c r="B10" s="27" t="s">
        <v>219</v>
      </c>
      <c r="C10" s="27" t="s">
        <v>269</v>
      </c>
      <c r="D10" s="27" t="s">
        <v>94</v>
      </c>
      <c r="E10" s="27" t="s">
        <v>19</v>
      </c>
      <c r="F10" s="29" t="n">
        <v>46170</v>
      </c>
      <c r="G10" s="27" t="s">
        <v>29</v>
      </c>
      <c r="H10" s="30" t="n">
        <v>0.4</v>
      </c>
      <c r="I10" s="27" t="s">
        <v>270</v>
      </c>
      <c r="J10" s="27" t="s">
        <v>254</v>
      </c>
      <c r="K10" s="27"/>
      <c r="L10" s="27"/>
    </row>
    <row r="11" customFormat="false" ht="36" hidden="false" customHeight="true" outlineLevel="0" collapsed="false">
      <c r="A11" s="27" t="s">
        <v>271</v>
      </c>
      <c r="B11" s="27" t="s">
        <v>222</v>
      </c>
      <c r="C11" s="27" t="s">
        <v>272</v>
      </c>
      <c r="D11" s="27" t="s">
        <v>98</v>
      </c>
      <c r="E11" s="27" t="s">
        <v>21</v>
      </c>
      <c r="F11" s="29" t="n">
        <v>46266</v>
      </c>
      <c r="G11" s="27" t="s">
        <v>31</v>
      </c>
      <c r="H11" s="30" t="n">
        <v>0.5</v>
      </c>
      <c r="I11" s="27" t="s">
        <v>273</v>
      </c>
      <c r="J11" s="27" t="s">
        <v>264</v>
      </c>
      <c r="K11" s="27"/>
      <c r="L11" s="27"/>
    </row>
    <row r="12" customFormat="false" ht="36" hidden="false" customHeight="true" outlineLevel="0" collapsed="false">
      <c r="A12" s="27" t="s">
        <v>274</v>
      </c>
      <c r="B12" s="27" t="s">
        <v>225</v>
      </c>
      <c r="C12" s="27" t="s">
        <v>275</v>
      </c>
      <c r="D12" s="27" t="s">
        <v>59</v>
      </c>
      <c r="E12" s="27" t="s">
        <v>19</v>
      </c>
      <c r="F12" s="29" t="n">
        <v>46249</v>
      </c>
      <c r="G12" s="27" t="s">
        <v>29</v>
      </c>
      <c r="H12" s="30" t="n">
        <v>0.1</v>
      </c>
      <c r="I12" s="27" t="s">
        <v>276</v>
      </c>
      <c r="J12" s="27" t="s">
        <v>254</v>
      </c>
      <c r="K12" s="27"/>
      <c r="L12" s="27"/>
    </row>
    <row r="13" customFormat="false" ht="36" hidden="false" customHeight="true" outlineLevel="0" collapsed="false">
      <c r="A13" s="27" t="s">
        <v>277</v>
      </c>
      <c r="B13" s="27" t="s">
        <v>228</v>
      </c>
      <c r="C13" s="27" t="s">
        <v>278</v>
      </c>
      <c r="D13" s="27" t="s">
        <v>64</v>
      </c>
      <c r="E13" s="27" t="s">
        <v>21</v>
      </c>
      <c r="F13" s="29" t="n">
        <v>46091</v>
      </c>
      <c r="G13" s="27" t="s">
        <v>33</v>
      </c>
      <c r="H13" s="30" t="n">
        <v>1</v>
      </c>
      <c r="I13" s="27" t="s">
        <v>279</v>
      </c>
      <c r="J13" s="27" t="s">
        <v>254</v>
      </c>
      <c r="K13" s="27" t="s">
        <v>18</v>
      </c>
      <c r="L13" s="29" t="n">
        <v>46086</v>
      </c>
    </row>
    <row r="14" customFormat="false" ht="36" hidden="false" customHeight="true" outlineLevel="0" collapsed="false">
      <c r="A14" s="27" t="s">
        <v>280</v>
      </c>
      <c r="B14" s="27" t="s">
        <v>231</v>
      </c>
      <c r="C14" s="27" t="s">
        <v>281</v>
      </c>
      <c r="D14" s="27" t="s">
        <v>59</v>
      </c>
      <c r="E14" s="27" t="s">
        <v>21</v>
      </c>
      <c r="F14" s="29" t="n">
        <v>46285</v>
      </c>
      <c r="G14" s="27" t="s">
        <v>29</v>
      </c>
      <c r="H14" s="30" t="n">
        <v>0.25</v>
      </c>
      <c r="I14" s="27" t="s">
        <v>282</v>
      </c>
      <c r="J14" s="27" t="s">
        <v>254</v>
      </c>
      <c r="K14" s="27"/>
      <c r="L14" s="27"/>
    </row>
    <row r="15" customFormat="false" ht="36" hidden="false" customHeight="true" outlineLevel="0" collapsed="false">
      <c r="A15" s="27" t="s">
        <v>283</v>
      </c>
      <c r="B15" s="27" t="s">
        <v>234</v>
      </c>
      <c r="C15" s="27" t="s">
        <v>284</v>
      </c>
      <c r="D15" s="27" t="s">
        <v>59</v>
      </c>
      <c r="E15" s="27" t="s">
        <v>23</v>
      </c>
      <c r="F15" s="29" t="n">
        <v>46174</v>
      </c>
      <c r="G15" s="27" t="s">
        <v>33</v>
      </c>
      <c r="H15" s="30" t="n">
        <v>1</v>
      </c>
      <c r="I15" s="27" t="s">
        <v>285</v>
      </c>
      <c r="J15" s="27" t="s">
        <v>264</v>
      </c>
      <c r="K15" s="27" t="s">
        <v>286</v>
      </c>
      <c r="L15" s="29" t="n">
        <v>46170</v>
      </c>
    </row>
    <row r="16" customFormat="false" ht="36" hidden="false" customHeight="true" outlineLevel="0" collapsed="false">
      <c r="A16" s="27" t="s">
        <v>287</v>
      </c>
      <c r="B16" s="27" t="s">
        <v>237</v>
      </c>
      <c r="C16" s="27" t="s">
        <v>288</v>
      </c>
      <c r="D16" s="27" t="s">
        <v>193</v>
      </c>
      <c r="E16" s="27" t="s">
        <v>19</v>
      </c>
      <c r="F16" s="29" t="n">
        <v>46239</v>
      </c>
      <c r="G16" s="27" t="s">
        <v>31</v>
      </c>
      <c r="H16" s="30" t="n">
        <v>0.55</v>
      </c>
      <c r="I16" s="27" t="s">
        <v>289</v>
      </c>
      <c r="J16" s="27" t="s">
        <v>254</v>
      </c>
      <c r="K16" s="27"/>
      <c r="L16" s="27"/>
    </row>
  </sheetData>
  <autoFilter ref="A4:L16"/>
  <mergeCells count="2">
    <mergeCell ref="A1:L1"/>
    <mergeCell ref="A2:L2"/>
  </mergeCells>
  <conditionalFormatting sqref="G5:G16">
    <cfRule type="cellIs" priority="2" operator="equal" aboveAverage="0" equalAverage="0" bottom="0" percent="0" rank="0" text="" dxfId="24">
      <formula>"Open"</formula>
    </cfRule>
    <cfRule type="cellIs" priority="3" operator="equal" aboveAverage="0" equalAverage="0" bottom="0" percent="0" rank="0" text="" dxfId="25">
      <formula>"In Progress"</formula>
    </cfRule>
    <cfRule type="cellIs" priority="4" operator="equal" aboveAverage="0" equalAverage="0" bottom="0" percent="0" rank="0" text="" dxfId="26">
      <formula>"Closed"</formula>
    </cfRule>
  </conditionalFormatting>
  <conditionalFormatting sqref="E5:E16">
    <cfRule type="cellIs" priority="5" operator="equal" aboveAverage="0" equalAverage="0" bottom="0" percent="0" rank="0" text="" dxfId="28">
      <formula>"Critical"</formula>
    </cfRule>
    <cfRule type="cellIs" priority="6" operator="equal" aboveAverage="0" equalAverage="0" bottom="0" percent="0" rank="0" text="" dxfId="29">
      <formula>"High"</formula>
    </cfRule>
    <cfRule type="cellIs" priority="7" operator="equal" aboveAverage="0" equalAverage="0" bottom="0" percent="0" rank="0" text="" dxfId="30">
      <formula>"Medium"</formula>
    </cfRule>
    <cfRule type="cellIs" priority="8" operator="equal" aboveAverage="0" equalAverage="0" bottom="0" percent="0" rank="0" text="" dxfId="31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5"/>
    <col collapsed="false" customWidth="true" hidden="false" outlineLevel="0" max="3" min="3" style="1" width="50"/>
    <col collapsed="false" customWidth="true" hidden="false" outlineLevel="0" max="4" min="4" style="1" width="55"/>
    <col collapsed="false" customWidth="true" hidden="false" outlineLevel="0" max="5" min="5" style="1" width="14"/>
    <col collapsed="false" customWidth="true" hidden="false" outlineLevel="0" max="6" min="6" style="1" width="35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2"/>
  </cols>
  <sheetData>
    <row r="1" customFormat="false" ht="21.75" hidden="false" customHeight="true" outlineLevel="0" collapsed="false">
      <c r="A1" s="26" t="s">
        <v>290</v>
      </c>
      <c r="B1" s="26"/>
      <c r="C1" s="26"/>
      <c r="D1" s="26"/>
      <c r="E1" s="26"/>
      <c r="F1" s="26"/>
      <c r="G1" s="26"/>
      <c r="H1" s="26"/>
      <c r="I1" s="26"/>
    </row>
    <row r="2" customFormat="false" ht="15" hidden="false" customHeight="true" outlineLevel="0" collapsed="false">
      <c r="A2" s="3" t="s">
        <v>291</v>
      </c>
      <c r="B2" s="3"/>
      <c r="C2" s="3"/>
      <c r="D2" s="3"/>
      <c r="E2" s="3"/>
      <c r="F2" s="3"/>
      <c r="G2" s="3"/>
      <c r="H2" s="3"/>
      <c r="I2" s="3"/>
    </row>
    <row r="4" customFormat="false" ht="21.75" hidden="false" customHeight="true" outlineLevel="0" collapsed="false">
      <c r="A4" s="17" t="s">
        <v>292</v>
      </c>
      <c r="B4" s="17" t="s">
        <v>293</v>
      </c>
      <c r="C4" s="17" t="s">
        <v>294</v>
      </c>
      <c r="D4" s="17" t="s">
        <v>295</v>
      </c>
      <c r="E4" s="17" t="s">
        <v>296</v>
      </c>
      <c r="F4" s="17" t="s">
        <v>297</v>
      </c>
      <c r="G4" s="17" t="s">
        <v>28</v>
      </c>
      <c r="H4" s="17" t="s">
        <v>41</v>
      </c>
      <c r="I4" s="17" t="s">
        <v>129</v>
      </c>
    </row>
    <row r="5" customFormat="false" ht="39.75" hidden="false" customHeight="true" outlineLevel="0" collapsed="false">
      <c r="A5" s="27" t="s">
        <v>298</v>
      </c>
      <c r="B5" s="27" t="s">
        <v>299</v>
      </c>
      <c r="C5" s="27" t="s">
        <v>300</v>
      </c>
      <c r="D5" s="27" t="s">
        <v>301</v>
      </c>
      <c r="E5" s="31" t="n">
        <v>0.08</v>
      </c>
      <c r="F5" s="27" t="s">
        <v>302</v>
      </c>
      <c r="G5" s="27" t="s">
        <v>32</v>
      </c>
      <c r="H5" s="27" t="s">
        <v>59</v>
      </c>
      <c r="I5" s="27" t="s">
        <v>142</v>
      </c>
    </row>
    <row r="6" customFormat="false" ht="39.75" hidden="false" customHeight="true" outlineLevel="0" collapsed="false">
      <c r="A6" s="27" t="s">
        <v>303</v>
      </c>
      <c r="B6" s="27" t="s">
        <v>304</v>
      </c>
      <c r="C6" s="27" t="s">
        <v>305</v>
      </c>
      <c r="D6" s="27" t="s">
        <v>306</v>
      </c>
      <c r="E6" s="32" t="n">
        <v>7</v>
      </c>
      <c r="F6" s="27" t="s">
        <v>307</v>
      </c>
      <c r="G6" s="27" t="s">
        <v>32</v>
      </c>
      <c r="H6" s="27" t="s">
        <v>98</v>
      </c>
      <c r="I6" s="27" t="s">
        <v>308</v>
      </c>
    </row>
    <row r="7" customFormat="false" ht="39.75" hidden="false" customHeight="true" outlineLevel="0" collapsed="false">
      <c r="A7" s="27" t="s">
        <v>309</v>
      </c>
      <c r="B7" s="27" t="s">
        <v>310</v>
      </c>
      <c r="C7" s="27" t="s">
        <v>311</v>
      </c>
      <c r="D7" s="27" t="s">
        <v>312</v>
      </c>
      <c r="E7" s="31" t="n">
        <v>0.33</v>
      </c>
      <c r="F7" s="27" t="s">
        <v>313</v>
      </c>
      <c r="G7" s="27" t="s">
        <v>34</v>
      </c>
      <c r="H7" s="27" t="s">
        <v>80</v>
      </c>
      <c r="I7" s="27" t="s">
        <v>142</v>
      </c>
    </row>
    <row r="8" customFormat="false" ht="39.75" hidden="false" customHeight="true" outlineLevel="0" collapsed="false">
      <c r="A8" s="27" t="s">
        <v>314</v>
      </c>
      <c r="B8" s="27" t="s">
        <v>315</v>
      </c>
      <c r="C8" s="27" t="s">
        <v>316</v>
      </c>
      <c r="D8" s="27" t="s">
        <v>317</v>
      </c>
      <c r="E8" s="31" t="n">
        <v>0.15</v>
      </c>
      <c r="F8" s="27" t="s">
        <v>318</v>
      </c>
      <c r="G8" s="27" t="s">
        <v>32</v>
      </c>
      <c r="H8" s="27" t="s">
        <v>74</v>
      </c>
      <c r="I8" s="27" t="s">
        <v>137</v>
      </c>
    </row>
    <row r="9" customFormat="false" ht="39.75" hidden="false" customHeight="true" outlineLevel="0" collapsed="false">
      <c r="A9" s="27" t="s">
        <v>319</v>
      </c>
      <c r="B9" s="27" t="s">
        <v>320</v>
      </c>
      <c r="C9" s="27" t="s">
        <v>321</v>
      </c>
      <c r="D9" s="27" t="s">
        <v>322</v>
      </c>
      <c r="E9" s="32" t="n">
        <v>4</v>
      </c>
      <c r="F9" s="27" t="s">
        <v>323</v>
      </c>
      <c r="G9" s="27" t="s">
        <v>32</v>
      </c>
      <c r="H9" s="27" t="s">
        <v>64</v>
      </c>
      <c r="I9" s="27" t="s">
        <v>142</v>
      </c>
    </row>
    <row r="10" customFormat="false" ht="39.75" hidden="false" customHeight="true" outlineLevel="0" collapsed="false">
      <c r="A10" s="27" t="s">
        <v>324</v>
      </c>
      <c r="B10" s="27" t="s">
        <v>325</v>
      </c>
      <c r="C10" s="27" t="s">
        <v>326</v>
      </c>
      <c r="D10" s="27" t="s">
        <v>327</v>
      </c>
      <c r="E10" s="31" t="n">
        <v>0.91</v>
      </c>
      <c r="F10" s="27" t="s">
        <v>328</v>
      </c>
      <c r="G10" s="27" t="s">
        <v>32</v>
      </c>
      <c r="H10" s="27" t="s">
        <v>59</v>
      </c>
      <c r="I10" s="27" t="s">
        <v>137</v>
      </c>
    </row>
    <row r="11" customFormat="false" ht="39.75" hidden="false" customHeight="true" outlineLevel="0" collapsed="false">
      <c r="A11" s="27" t="s">
        <v>329</v>
      </c>
      <c r="B11" s="27" t="s">
        <v>330</v>
      </c>
      <c r="C11" s="27" t="s">
        <v>331</v>
      </c>
      <c r="D11" s="27" t="s">
        <v>332</v>
      </c>
      <c r="E11" s="31" t="n">
        <v>0.78</v>
      </c>
      <c r="F11" s="27" t="s">
        <v>333</v>
      </c>
      <c r="G11" s="27" t="s">
        <v>32</v>
      </c>
      <c r="H11" s="27" t="s">
        <v>80</v>
      </c>
      <c r="I11" s="27" t="s">
        <v>142</v>
      </c>
    </row>
    <row r="12" customFormat="false" ht="39.75" hidden="false" customHeight="true" outlineLevel="0" collapsed="false">
      <c r="A12" s="27" t="s">
        <v>334</v>
      </c>
      <c r="B12" s="27" t="s">
        <v>335</v>
      </c>
      <c r="C12" s="27" t="s">
        <v>336</v>
      </c>
      <c r="D12" s="27" t="s">
        <v>337</v>
      </c>
      <c r="E12" s="32" t="n">
        <v>6</v>
      </c>
      <c r="F12" s="27" t="s">
        <v>323</v>
      </c>
      <c r="G12" s="27" t="s">
        <v>34</v>
      </c>
      <c r="H12" s="27" t="s">
        <v>64</v>
      </c>
      <c r="I12" s="27" t="s">
        <v>308</v>
      </c>
    </row>
    <row r="13" customFormat="false" ht="39.75" hidden="false" customHeight="true" outlineLevel="0" collapsed="false">
      <c r="A13" s="27" t="s">
        <v>338</v>
      </c>
      <c r="B13" s="27" t="s">
        <v>339</v>
      </c>
      <c r="C13" s="27" t="s">
        <v>340</v>
      </c>
      <c r="D13" s="27" t="s">
        <v>341</v>
      </c>
      <c r="E13" s="32" t="n">
        <v>48</v>
      </c>
      <c r="F13" s="27" t="s">
        <v>342</v>
      </c>
      <c r="G13" s="27" t="s">
        <v>32</v>
      </c>
      <c r="H13" s="27" t="s">
        <v>80</v>
      </c>
      <c r="I13" s="27" t="s">
        <v>142</v>
      </c>
    </row>
    <row r="14" customFormat="false" ht="39.75" hidden="false" customHeight="true" outlineLevel="0" collapsed="false">
      <c r="A14" s="27" t="s">
        <v>343</v>
      </c>
      <c r="B14" s="27" t="s">
        <v>344</v>
      </c>
      <c r="C14" s="27" t="s">
        <v>345</v>
      </c>
      <c r="D14" s="27" t="s">
        <v>346</v>
      </c>
      <c r="E14" s="32" t="n">
        <v>1</v>
      </c>
      <c r="F14" s="27" t="s">
        <v>347</v>
      </c>
      <c r="G14" s="27" t="s">
        <v>32</v>
      </c>
      <c r="H14" s="27" t="s">
        <v>80</v>
      </c>
      <c r="I14" s="27" t="s">
        <v>142</v>
      </c>
    </row>
  </sheetData>
  <autoFilter ref="A4:I14"/>
  <mergeCells count="2">
    <mergeCell ref="A1:I1"/>
    <mergeCell ref="A2:I2"/>
  </mergeCells>
  <conditionalFormatting sqref="G5:G14">
    <cfRule type="cellIs" priority="2" operator="equal" aboveAverage="0" equalAverage="0" bottom="0" percent="0" rank="0" text="" dxfId="16">
      <formula>"Green"</formula>
    </cfRule>
    <cfRule type="cellIs" priority="3" operator="equal" aboveAverage="0" equalAverage="0" bottom="0" percent="0" rank="0" text="" dxfId="17">
      <formula>"Amber"</formula>
    </cfRule>
    <cfRule type="cellIs" priority="4" operator="equal" aboveAverage="0" equalAverage="0" bottom="0" percent="0" rank="0" text="" dxfId="18">
      <formula>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2026-08-23T10:50:23Z</dcterms:created>
  <dc:creator>openpyxl</dc:creator>
  <dc:description/>
  <dc:language>en-US</dc:language>
  <cp:lastModifiedBy/>
  <dcterms:modified xsi:type="dcterms:W3CDTF">2026-08-23T10:51:37Z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